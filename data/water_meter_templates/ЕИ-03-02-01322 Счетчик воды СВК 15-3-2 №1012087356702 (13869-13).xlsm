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6.10.2025\"/>
    </mc:Choice>
  </mc:AlternateContent>
  <xr:revisionPtr revIDLastSave="0" documentId="8_{0685105C-574F-4A98-81A9-F9B8E660521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<sst xmlns="http://schemas.openxmlformats.org/spreadsheetml/2006/main" count="505" uniqueCount="273">
  <si>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</si>
  <si>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</si>
  <si>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</si>
  <si>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</si>
  <si>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</si>
  <si>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</si>
  <si>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</si>
  <si>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</si>
  <si>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</si>
  <si>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</si>
  <si>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</si>
  <si>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</si>
  <si>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</si>
  <si>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</si>
  <si>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</si>
  <si>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</si>
  <si>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</si>
  <si>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</si>
  <si>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</si>
  <si>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</si>
  <si>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</si>
  <si>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</si>
  <si>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</si>
  <si>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</si>
  <si>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</si>
  <si>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</si>
  <si>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</si>
  <si>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</si>
  <si>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</si>
  <si>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</si>
  <si>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</si>
  <si>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</si>
  <si>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</si>
  <si>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</si>
  <si>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</si>
  <si>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</si>
  <si>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</si>
  <si>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</si>
  <si>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</si>
  <si>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</si>
  <si>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</si>
  <si>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</si>
  <si>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</si>
  <si>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</si>
  <si>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</si>
  <si>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</si>
  <si>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</si>
  <si>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</si>
  <si>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</si>
  <si>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</si>
  <si>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</si>
  <si>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</si>
  <si>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</si>
  <si>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</si>
  <si>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</si>
  <si>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</si>
  <si>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</si>
  <si>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</si>
  <si>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</si>
  <si>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</si>
  <si>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</si>
  <si>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</si>
  <si>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</si>
  <si>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</si>
  <si>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</si>
  <si>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</si>
  <si>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</si>
  <si>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</si>
  <si>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</si>
  <si>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</si>
  <si>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</si>
  <si>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</si>
  <si>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</si>
  <si>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</si>
  <si>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</si>
  <si>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</si>
  <si>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</si>
  <si>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</si>
  <si>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</si>
  <si>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</si>
  <si>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</si>
  <si>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</si>
  <si>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</si>
  <si>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</si>
  <si>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</si>
  <si>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</si>
  <si>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</si>
  <si>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</si>
  <si>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</si>
  <si>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</si>
  <si>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</si>
  <si>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</si>
  <si>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</si>
  <si>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</si>
  <si>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</si>
  <si>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</si>
  <si>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</si>
  <si>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</si>
  <si>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</si>
  <si>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</si>
  <si>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</si>
  <si>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</si>
  <si>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</si>
  <si>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</si>
  <si>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</si>
  <si>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</si>
  <si>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</si>
  <si>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</si>
  <si>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</si>
  <si>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</si>
  <si>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</si>
  <si>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</si>
  <si>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</si>
  <si>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</si>
  <si>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</si>
  <si>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</si>
  <si>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</si>
  <si>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</si>
  <si>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</si>
  <si>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</si>
  <si>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</si>
  <si>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</si>
  <si>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</si>
  <si>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</si>
  <si>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</si>
  <si>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</si>
  <si>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</si>
  <si>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</si>
  <si>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</si>
  <si>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</si>
  <si>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</si>
  <si>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</si>
  <si>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</si>
  <si>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</si>
  <si>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</si>
  <si>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</si>
  <si>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</si>
  <si>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</si>
  <si>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</si>
  <si>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</si>
  <si>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</si>
  <si>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</si>
  <si>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</si>
  <si>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</si>
  <si>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</si>
  <si>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</si>
  <si>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</si>
  <si>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</si>
  <si>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</si>
  <si>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</si>
  <si>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</si>
  <si>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</si>
  <si>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</si>
  <si>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</si>
  <si>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</si>
  <si>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</si>
  <si>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</si>
  <si>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</si>
  <si>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</si>
  <si>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</si>
  <si>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</si>
  <si>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</si>
  <si>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</si>
  <si>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</si>
  <si>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</si>
  <si>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</si>
  <si>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</si>
  <si>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</si>
  <si>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</si>
  <si>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</si>
  <si>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</si>
  <si>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</si>
  <si>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</si>
  <si>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</si>
  <si>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</si>
  <si>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</si>
  <si>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</si>
  <si>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</si>
  <si>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</si>
  <si>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</si>
  <si>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</si>
  <si>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</si>
  <si>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</si>
  <si>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</si>
  <si>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</si>
  <si>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</si>
  <si>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</si>
  <si>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</si>
  <si>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</si>
  <si>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</si>
  <si>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</si>
  <si>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</si>
  <si>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</si>
  <si>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</si>
  <si>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</si>
  <si>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</si>
  <si>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</si>
  <si>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</si>
  <si>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</si>
  <si>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</si>
  <si>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</si>
  <si>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</si>
  <si>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</si>
  <si>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</si>
  <si>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</si>
  <si>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</si>
  <si>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</si>
  <si>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</si>
  <si>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</si>
  <si>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</si>
  <si>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</si>
  <si>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</si>
  <si>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</si>
  <si>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</si>
  <si>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</si>
  <si>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</si>
  <si>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</si>
  <si>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</si>
  <si>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</si>
  <si>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</si>
  <si>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</si>
  <si>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</si>
  <si>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</si>
  <si>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</si>
  <si>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</si>
  <si>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</si>
  <si>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</si>
  <si>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</si>
  <si>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</si>
  <si>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</si>
  <si>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</si>
  <si>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</si>
  <si>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</si>
  <si>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</si>
  <si>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</si>
  <si>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</si>
  <si>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</si>
  <si>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</si>
  <si>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</si>
  <si>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</si>
  <si>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</si>
  <si>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</si>
  <si>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</si>
  <si>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</si>
  <si>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</si>
  <si>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</si>
  <si>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</si>
  <si>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</si>
  <si>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</si>
  <si>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</si>
  <si>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</si>
  <si>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</si>
  <si>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</si>
  <si>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</si>
  <si>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</si>
  <si>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</si>
  <si>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</si>
  <si>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</si>
  <si>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</si>
  <si>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</si>
  <si>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</si>
  <si>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</si>
  <si>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</si>
  <si>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</si>
  <si>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</si>
  <si>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</si>
  <si>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</si>
  <si>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</si>
  <si>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</si>
  <si>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01322</t>
  </si>
  <si>
    <t>841,716</t>
  </si>
  <si>
    <t>1012087356702</t>
  </si>
  <si>
    <t>Яранский район, с.Рождественское, ул.Молодежная 34-2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</si>
</sst>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8" sqref="A8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№ЕИ-04/02-01322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2012, заводской № 1012087356702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с.Рождественское, ул.Молодежная 34-2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22.4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20.399999999999999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60.1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68.400000000000006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109.5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109.5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3.2000000000000001E-2</v>
      </c>
      <c r="AD53" s="124"/>
      <c r="AE53" s="124"/>
      <c r="AF53" s="124"/>
      <c r="AG53" s="124"/>
      <c r="AH53" s="124"/>
      <c r="AI53" s="125"/>
      <c r="AJ53" s="122" t="str">
        <f>Данные!B5</f>
        <v>841,716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841.72299999999996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7.1999999999999998E-3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-2.8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841.72499999999991</v>
      </c>
      <c r="AK54" s="124"/>
      <c r="AL54" s="124"/>
      <c r="AM54" s="124"/>
      <c r="AN54" s="124"/>
      <c r="AO54" s="124"/>
      <c r="AP54" s="125"/>
      <c r="AQ54" s="123">
        <f t="shared" ca="1" si="0"/>
        <v>841.73099999999988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6.1000000000000004E-3</v>
      </c>
      <c r="BE54" s="136"/>
      <c r="BF54" s="136"/>
      <c r="BG54" s="136"/>
      <c r="BH54" s="136"/>
      <c r="BI54" s="136"/>
      <c r="BJ54" s="137"/>
      <c r="BK54" s="132">
        <f t="shared" ca="1" si="1"/>
        <v>-1.6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841.73299999999983</v>
      </c>
      <c r="AK55" s="120"/>
      <c r="AL55" s="120"/>
      <c r="AM55" s="120"/>
      <c r="AN55" s="120"/>
      <c r="AO55" s="120"/>
      <c r="AP55" s="121"/>
      <c r="AQ55" s="123">
        <f t="shared" ca="1" si="0"/>
        <v>841.73999999999978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-2.8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0.125</v>
      </c>
      <c r="AD56" s="124"/>
      <c r="AE56" s="124"/>
      <c r="AF56" s="124"/>
      <c r="AG56" s="124"/>
      <c r="AH56" s="124"/>
      <c r="AI56" s="125"/>
      <c r="AJ56" s="119">
        <f ca="1">AQ55+RANDBETWEEN(4,7)/1000</f>
        <v>841.74599999999975</v>
      </c>
      <c r="AK56" s="120"/>
      <c r="AL56" s="120"/>
      <c r="AM56" s="120"/>
      <c r="AN56" s="120"/>
      <c r="AO56" s="120"/>
      <c r="AP56" s="121"/>
      <c r="AQ56" s="123">
        <f t="shared" ca="1" si="0"/>
        <v>841.75899999999979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1.3100000000000001E-2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-0.8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0.128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841.76499999999976</v>
      </c>
      <c r="AK57" s="120"/>
      <c r="AL57" s="120"/>
      <c r="AM57" s="120"/>
      <c r="AN57" s="120"/>
      <c r="AO57" s="120"/>
      <c r="AP57" s="121"/>
      <c r="AQ57" s="123">
        <f t="shared" ca="1" si="0"/>
        <v>841.77799999999979</v>
      </c>
      <c r="AR57" s="124"/>
      <c r="AS57" s="124"/>
      <c r="AT57" s="124"/>
      <c r="AU57" s="124"/>
      <c r="AV57" s="125"/>
      <c r="AW57" s="123">
        <f ca="1">ROUNDUP(AC57*360/3600,3)</f>
        <v>1.3000000000000001E-2</v>
      </c>
      <c r="AX57" s="124"/>
      <c r="AY57" s="124"/>
      <c r="AZ57" s="124"/>
      <c r="BA57" s="124"/>
      <c r="BB57" s="124"/>
      <c r="BC57" s="125"/>
      <c r="BD57" s="135">
        <f ca="1">AW57+RANDBETWEEN(-2,2)/10000</f>
        <v>1.3000000000000001E-2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0.13200000000000001</v>
      </c>
      <c r="AD58" s="124"/>
      <c r="AE58" s="124"/>
      <c r="AF58" s="124"/>
      <c r="AG58" s="124"/>
      <c r="AH58" s="124"/>
      <c r="AI58" s="125"/>
      <c r="AJ58" s="119">
        <f t="shared" ca="1" si="4"/>
        <v>841.78499999999974</v>
      </c>
      <c r="AK58" s="120"/>
      <c r="AL58" s="120"/>
      <c r="AM58" s="120"/>
      <c r="AN58" s="120"/>
      <c r="AO58" s="120"/>
      <c r="AP58" s="121"/>
      <c r="AQ58" s="123">
        <f t="shared" ca="1" si="0"/>
        <v>841.79899999999975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1.3799999999999998E-2</v>
      </c>
      <c r="BE58" s="136"/>
      <c r="BF58" s="136"/>
      <c r="BG58" s="136"/>
      <c r="BH58" s="136"/>
      <c r="BI58" s="136"/>
      <c r="BJ58" s="137"/>
      <c r="BK58" s="132">
        <f t="shared" ca="1" si="5"/>
        <v>1.4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0.92500000000000004</v>
      </c>
      <c r="AD59" s="158"/>
      <c r="AE59" s="158"/>
      <c r="AF59" s="158"/>
      <c r="AG59" s="158"/>
      <c r="AH59" s="158"/>
      <c r="AI59" s="159"/>
      <c r="AJ59" s="174">
        <f ca="1">AQ58+RANDBETWEEN(15,18)/1000</f>
        <v>841.8159999999998</v>
      </c>
      <c r="AK59" s="175"/>
      <c r="AL59" s="175"/>
      <c r="AM59" s="175"/>
      <c r="AN59" s="175"/>
      <c r="AO59" s="175"/>
      <c r="AP59" s="176"/>
      <c r="AQ59" s="126">
        <f ca="1">AJ59+AW59</f>
        <v>841.84699999999975</v>
      </c>
      <c r="AR59" s="127"/>
      <c r="AS59" s="127"/>
      <c r="AT59" s="127"/>
      <c r="AU59" s="127"/>
      <c r="AV59" s="128"/>
      <c r="AW59" s="123">
        <f ca="1">ROUNDUP(AC59*120/3600,3)</f>
        <v>3.1E-2</v>
      </c>
      <c r="AX59" s="130"/>
      <c r="AY59" s="130"/>
      <c r="AZ59" s="130"/>
      <c r="BA59" s="130"/>
      <c r="BB59" s="130"/>
      <c r="BC59" s="131"/>
      <c r="BD59" s="135">
        <f ca="1">AW59+RANDBETWEEN(-5,5)/10000</f>
        <v>3.15E-2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-1.6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0.90700000000000003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841.86199999999974</v>
      </c>
      <c r="AK60" s="120"/>
      <c r="AL60" s="120"/>
      <c r="AM60" s="120"/>
      <c r="AN60" s="120"/>
      <c r="AO60" s="120"/>
      <c r="AP60" s="121"/>
      <c r="AQ60" s="123">
        <f t="shared" ca="1" si="0"/>
        <v>841.89299999999969</v>
      </c>
      <c r="AR60" s="124"/>
      <c r="AS60" s="124"/>
      <c r="AT60" s="124"/>
      <c r="AU60" s="124"/>
      <c r="AV60" s="125"/>
      <c r="AW60" s="123">
        <f t="shared" ref="AW60:AW61" ca="1" si="7">ROUNDUP(AC60*120/3600,3)</f>
        <v>3.1E-2</v>
      </c>
      <c r="AX60" s="130"/>
      <c r="AY60" s="130"/>
      <c r="AZ60" s="130"/>
      <c r="BA60" s="130"/>
      <c r="BB60" s="130"/>
      <c r="BC60" s="131"/>
      <c r="BD60" s="135">
        <f ca="1">AW60+RANDBETWEEN(-5,5)/10000</f>
        <v>3.0699999999999998E-2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1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0.89600000000000002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841.91099999999972</v>
      </c>
      <c r="AK61" s="172"/>
      <c r="AL61" s="172"/>
      <c r="AM61" s="172"/>
      <c r="AN61" s="172"/>
      <c r="AO61" s="172"/>
      <c r="AP61" s="173"/>
      <c r="AQ61" s="129">
        <f t="shared" ca="1" si="0"/>
        <v>841.94099999999969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2.9600000000000001E-2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1.4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45946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A25" sqref="A25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2012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271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45946</v>
      </c>
      <c r="C9" s="13"/>
      <c r="D9" s="13"/>
      <c r="E9" s="13"/>
    </row>
    <row r="10" spans="1:21" ht="18" x14ac:dyDescent="0.35">
      <c r="A10" s="11" t="s">
        <v>15</v>
      </c>
      <c r="B10" s="76">
        <v>22.4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60.1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109.5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2025-10-19T12:14:45Z</cp:lastPrinted>
  <dcterms:created xsi:type="dcterms:W3CDTF">2015-01-22T18:16:29Z</dcterms:created>
  <dcterms:modified xsi:type="dcterms:W3CDTF">2025-10-19T12:20:05Z</dcterms:modified>
</cp:coreProperties>
</file>