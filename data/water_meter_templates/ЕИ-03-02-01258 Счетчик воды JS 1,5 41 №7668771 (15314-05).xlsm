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8_10_2025\"/>
    </mc:Choice>
  </mc:AlternateContent>
  <xr:revisionPtr revIDLastSave="0" documentId="13_ncr:1_{0FEB89C5-F0A4-4072-8A3D-53C484EB848D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<sst xmlns="http://schemas.openxmlformats.org/spreadsheetml/2006/main" count="505" uniqueCount="273">
  <si>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</si>
  <si>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</si>
  <si>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</si>
  <si>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</si>
  <si>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</si>
  <si>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</si>
  <si>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</si>
  <si>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</si>
  <si>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</si>
  <si>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</si>
  <si>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</si>
  <si>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</si>
  <si>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</si>
  <si>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</si>
  <si>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</si>
  <si>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</si>
  <si>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</si>
  <si>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</si>
  <si>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</si>
  <si>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</si>
  <si>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</si>
  <si>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</si>
  <si>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</si>
  <si>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</si>
  <si>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</si>
  <si>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</si>
  <si>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</si>
  <si>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</si>
  <si>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</si>
  <si>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</si>
  <si>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</si>
  <si>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</si>
  <si>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</si>
  <si>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</si>
  <si>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</si>
  <si>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</si>
  <si>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</si>
  <si>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</si>
  <si>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</si>
  <si>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</si>
  <si>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</si>
  <si>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</si>
  <si>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</si>
  <si>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</si>
  <si>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</si>
  <si>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</si>
  <si>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</si>
  <si>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</si>
  <si>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</si>
  <si>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</si>
  <si>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</si>
  <si>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</si>
  <si>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</si>
  <si>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</si>
  <si>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</si>
  <si>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</si>
  <si>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</si>
  <si>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</si>
  <si>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</si>
  <si>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</si>
  <si>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</si>
  <si>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</si>
  <si>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</si>
  <si>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</si>
  <si>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</si>
  <si>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</si>
  <si>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</si>
  <si>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</si>
  <si>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</si>
  <si>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</si>
  <si>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</si>
  <si>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</si>
  <si>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</si>
  <si>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</si>
  <si>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</si>
  <si>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</si>
  <si>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</si>
  <si>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</si>
  <si>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</si>
  <si>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</si>
  <si>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</si>
  <si>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</si>
  <si>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</si>
  <si>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</si>
  <si>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</si>
  <si>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</si>
  <si>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</si>
  <si>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</si>
  <si>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</si>
  <si>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</si>
  <si>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</si>
  <si>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</si>
  <si>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</si>
  <si>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</si>
  <si>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</si>
  <si>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</si>
  <si>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</si>
  <si>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</si>
  <si>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</si>
  <si>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</si>
  <si>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</si>
  <si>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</si>
  <si>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</si>
  <si>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</si>
  <si>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</si>
  <si>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</si>
  <si>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</si>
  <si>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</si>
  <si>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</si>
  <si>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</si>
  <si>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</si>
  <si>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</si>
  <si>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</si>
  <si>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</si>
  <si>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</si>
  <si>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</si>
  <si>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</si>
  <si>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</si>
  <si>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</si>
  <si>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</si>
  <si>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</si>
  <si>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</si>
  <si>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</si>
  <si>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</si>
  <si>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</si>
  <si>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</si>
  <si>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</si>
  <si>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</si>
  <si>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</si>
  <si>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</si>
  <si>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</si>
  <si>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</si>
  <si>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</si>
  <si>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</si>
  <si>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</si>
  <si>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</si>
  <si>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</si>
  <si>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</si>
  <si>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</si>
  <si>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</si>
  <si>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</si>
  <si>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</si>
  <si>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</si>
  <si>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</si>
  <si>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</si>
  <si>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</si>
  <si>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</si>
  <si>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</si>
  <si>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</si>
  <si>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</si>
  <si>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</si>
  <si>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</si>
  <si>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</si>
  <si>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</si>
  <si>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</si>
  <si>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</si>
  <si>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</si>
  <si>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</si>
  <si>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</si>
  <si>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</si>
  <si>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</si>
  <si>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</si>
  <si>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</si>
  <si>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</si>
  <si>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</si>
  <si>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</si>
  <si>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</si>
  <si>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</si>
  <si>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</si>
  <si>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</si>
  <si>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</si>
  <si>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</si>
  <si>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</si>
  <si>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</si>
  <si>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</si>
  <si>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</si>
  <si>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</si>
  <si>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</si>
  <si>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</si>
  <si>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</si>
  <si>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</si>
  <si>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</si>
  <si>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</si>
  <si>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</si>
  <si>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</si>
  <si>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</si>
  <si>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</si>
  <si>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</si>
  <si>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</si>
  <si>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</si>
  <si>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</si>
  <si>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</si>
  <si>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</si>
  <si>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</si>
  <si>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</si>
  <si>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</si>
  <si>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</si>
  <si>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</si>
  <si>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</si>
  <si>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</si>
  <si>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</si>
  <si>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</si>
  <si>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</si>
  <si>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</si>
  <si>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</si>
  <si>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</si>
  <si>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</si>
  <si>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</si>
  <si>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</si>
  <si>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</si>
  <si>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</si>
  <si>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</si>
  <si>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</si>
  <si>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</si>
  <si>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</si>
  <si>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</si>
  <si>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</si>
  <si>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</si>
  <si>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</si>
  <si>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</si>
  <si>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</si>
  <si>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</si>
  <si>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</si>
  <si>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</si>
  <si>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</si>
  <si>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</si>
  <si>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</si>
  <si>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</si>
  <si>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</si>
  <si>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</si>
  <si>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</si>
  <si>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</si>
  <si>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</si>
  <si>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</si>
  <si>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</si>
  <si>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</si>
  <si>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</si>
  <si>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</si>
  <si>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</si>
  <si>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</si>
  <si>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</si>
  <si>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</si>
  <si>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</si>
  <si>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</si>
  <si>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</si>
  <si>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</si>
  <si>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</si>
  <si>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</si>
  <si>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</si>
  <si>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</si>
  <si>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</si>
  <si>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</si>
  <si>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</si>
  <si>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</si>
  <si>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</si>
  <si>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</si>
  <si>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</si>
  <si>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</si>
  <si>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</si>
  <si>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</si>
  <si>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</si>
  <si>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</si>
  <si>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</si>
  <si>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</si>
  <si>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</si>
  <si>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</si>
  <si>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JS 1,5 41 15314-05</t>
  </si>
  <si>
    <t>JS 1,5 15314-05</t>
  </si>
  <si>
    <t>JS 1,5 41</t>
  </si>
  <si>
    <t>01258</t>
  </si>
  <si>
    <t>7668771</t>
  </si>
  <si>
    <t>1986,689</t>
  </si>
  <si>
    <t>г. Киров, ул. Ломоносова, 22-113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</si>
</sst>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8" totalsRowShown="0" headerRowBorderDxfId="14" tableBorderDxfId="13">
  <autoFilter ref="K52:W118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№ЕИ-04/02-01258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",INDEX(Данные!$K$53:$W$118,Данные!K51,13),", год изготовления ",Данные!B3,", заводской № ",Данные!B4)</f>
        <v>периодической поверки СИ - счетчик воды JS 1,5 41, год изготовления 2005, заводской № 7668771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",INDEX(Данные!$K$53:$W$118,Данные!K51,12))</f>
        <v>Регистрационный номер средства измерений в ФИФ ОЕИ: 15314-05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Ломоносова, 22-113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",INDEX(Данные!$K$53:$W$118,Данные!K51,3)*2," м3/ч до ",INDEX(Данные!$K$53:$W$118,Данные!K51,7),"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",INDEX(Данные!$K$53:$W$118,Данные!K51,3)," м3/ч до ",INDEX(Данные!$K$53:$W$118,Данные!K51,7),"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",INDEX(Данные!$K$53:$W$118,Данные!K51,3)*2," м3/ч до ",INDEX(Данные!$K$53:$W$118,Данные!K51,4)," м3/ч : ± ",INDEX(Данные!$K$53:$W$118,Данные!K51,8),"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",INDEX(Данные!$K$53:$W$118,Данные!K51,4)," м3/ч до ",INDEX(Данные!$K$53:$W$118,Данные!K51,7)," м3/ч : ± ",INDEX(Данные!$K$53:$W$118,Данные!K51,9),"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",INDEX(Данные!$K$53:$W$118,Данные!K51,3)," м3/ч до ",INDEX(Данные!$K$53:$W$118,Данные!K51,5)," м3/ч : ± ",INDEX(Данные!$K$53:$W$118,Данные!K51,8),"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",INDEX(Данные!$K$53:$W$118,Данные!K51,5)," м3/ч до ",INDEX(Данные!$K$53:$W$118,Данные!K51,7)," м3/ч : ± ",INDEX(Данные!$K$53:$W$118,Данные!K51,9),"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24.2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22.5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59.8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66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105.6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105.6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6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6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INDEX(Данные!$K$53:$W$118,Данные!K51,2)</f>
        <v>«Рекомендация. ГСИ. Счетчики воды. Методика поверки» МИ 1592-2015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0.03</v>
      </c>
      <c r="AD53" s="124"/>
      <c r="AE53" s="124"/>
      <c r="AF53" s="124"/>
      <c r="AG53" s="124"/>
      <c r="AH53" s="124"/>
      <c r="AI53" s="125"/>
      <c r="AJ53" s="122" t="str">
        <f>Данные!B5</f>
        <v>1986,689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1986.6950000000002</v>
      </c>
      <c r="AR53" s="124"/>
      <c r="AS53" s="124"/>
      <c r="AT53" s="124"/>
      <c r="AU53" s="124"/>
      <c r="AV53" s="125"/>
      <c r="AW53" s="123">
        <f ca="1">ROUNDUP(AC53*720/3600,3)</f>
        <v>6.0000000000000001E-3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5.8000000000000005E-3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3.4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3.3000000000000002E-2</v>
      </c>
      <c r="AD54" s="124"/>
      <c r="AE54" s="124"/>
      <c r="AF54" s="124"/>
      <c r="AG54" s="124"/>
      <c r="AH54" s="124"/>
      <c r="AI54" s="125"/>
      <c r="AJ54" s="123">
        <f ca="1">AQ53+RANDBETWEEN(1,3)/1000</f>
        <v>1986.6980000000001</v>
      </c>
      <c r="AK54" s="124"/>
      <c r="AL54" s="124"/>
      <c r="AM54" s="124"/>
      <c r="AN54" s="124"/>
      <c r="AO54" s="124"/>
      <c r="AP54" s="125"/>
      <c r="AQ54" s="123">
        <f t="shared" ca="1" si="0"/>
        <v>1986.7050000000002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7.3000000000000001E-3</v>
      </c>
      <c r="BE54" s="136"/>
      <c r="BF54" s="136"/>
      <c r="BG54" s="136"/>
      <c r="BH54" s="136"/>
      <c r="BI54" s="136"/>
      <c r="BJ54" s="137"/>
      <c r="BK54" s="132">
        <f t="shared" ca="1" si="1"/>
        <v>-4.0999999999999996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0.03</v>
      </c>
      <c r="AD55" s="124"/>
      <c r="AE55" s="124"/>
      <c r="AF55" s="124"/>
      <c r="AG55" s="124"/>
      <c r="AH55" s="124"/>
      <c r="AI55" s="125"/>
      <c r="AJ55" s="122">
        <f ca="1">AQ54+RANDBETWEEN(1,3)/1000</f>
        <v>1986.7070000000001</v>
      </c>
      <c r="AK55" s="120"/>
      <c r="AL55" s="120"/>
      <c r="AM55" s="120"/>
      <c r="AN55" s="120"/>
      <c r="AO55" s="120"/>
      <c r="AP55" s="121"/>
      <c r="AQ55" s="123">
        <f t="shared" ca="1" si="0"/>
        <v>1986.7130000000002</v>
      </c>
      <c r="AR55" s="124"/>
      <c r="AS55" s="124"/>
      <c r="AT55" s="124"/>
      <c r="AU55" s="124"/>
      <c r="AV55" s="125"/>
      <c r="AW55" s="123">
        <f t="shared" ref="AW55" ca="1" si="3">ROUNDUP(AC55*720/3600,3)</f>
        <v>6.0000000000000001E-3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6.1999999999999998E-3</v>
      </c>
      <c r="BE55" s="136"/>
      <c r="BF55" s="136"/>
      <c r="BG55" s="136"/>
      <c r="BH55" s="136"/>
      <c r="BI55" s="136"/>
      <c r="BJ55" s="137"/>
      <c r="BK55" s="132">
        <f t="shared" ca="1" si="1"/>
        <v>-3.2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219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0.13100000000000001</v>
      </c>
      <c r="AD56" s="124"/>
      <c r="AE56" s="124"/>
      <c r="AF56" s="124"/>
      <c r="AG56" s="124"/>
      <c r="AH56" s="124"/>
      <c r="AI56" s="125"/>
      <c r="AJ56" s="119">
        <f ca="1">AQ55+RANDBETWEEN(4,7)/1000</f>
        <v>1986.7170000000001</v>
      </c>
      <c r="AK56" s="120"/>
      <c r="AL56" s="120"/>
      <c r="AM56" s="120"/>
      <c r="AN56" s="120"/>
      <c r="AO56" s="120"/>
      <c r="AP56" s="121"/>
      <c r="AQ56" s="123">
        <f t="shared" ca="1" si="0"/>
        <v>1986.731</v>
      </c>
      <c r="AR56" s="124"/>
      <c r="AS56" s="124"/>
      <c r="AT56" s="124"/>
      <c r="AU56" s="124"/>
      <c r="AV56" s="125"/>
      <c r="AW56" s="123">
        <f ca="1">ROUNDUP(AC56*360/3600,3)</f>
        <v>1.3999999999999999E-2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1.3999999999999999E-2</v>
      </c>
      <c r="BE56" s="136"/>
      <c r="BF56" s="136"/>
      <c r="BG56" s="136"/>
      <c r="BH56" s="136"/>
      <c r="BI56" s="136"/>
      <c r="BJ56" s="137"/>
      <c r="BK56" s="132">
        <f ca="1">ROUND(((AW56-BD56)/BD56)*100,1)</f>
        <v>0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1986.7349999999999</v>
      </c>
      <c r="AK57" s="120"/>
      <c r="AL57" s="120"/>
      <c r="AM57" s="120"/>
      <c r="AN57" s="120"/>
      <c r="AO57" s="120"/>
      <c r="AP57" s="121"/>
      <c r="AQ57" s="123">
        <f t="shared" ca="1" si="0"/>
        <v>1986.7479999999998</v>
      </c>
      <c r="AR57" s="124"/>
      <c r="AS57" s="124"/>
      <c r="AT57" s="124"/>
      <c r="AU57" s="124"/>
      <c r="AV57" s="125"/>
      <c r="AW57" s="123">
        <f ca="1">ROUNDUP(AC57*360/3600,3)</f>
        <v>1.2999999999999999E-2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1.29E-2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0.8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0.13400000000000001</v>
      </c>
      <c r="AD58" s="124"/>
      <c r="AE58" s="124"/>
      <c r="AF58" s="124"/>
      <c r="AG58" s="124"/>
      <c r="AH58" s="124"/>
      <c r="AI58" s="125"/>
      <c r="AJ58" s="119">
        <f t="shared" ca="1" si="4"/>
        <v>1986.7539999999999</v>
      </c>
      <c r="AK58" s="120"/>
      <c r="AL58" s="120"/>
      <c r="AM58" s="120"/>
      <c r="AN58" s="120"/>
      <c r="AO58" s="120"/>
      <c r="AP58" s="121"/>
      <c r="AQ58" s="123">
        <f t="shared" ca="1" si="0"/>
        <v>1986.7679999999998</v>
      </c>
      <c r="AR58" s="124"/>
      <c r="AS58" s="124"/>
      <c r="AT58" s="124"/>
      <c r="AU58" s="124"/>
      <c r="AV58" s="125"/>
      <c r="AW58" s="123">
        <f ca="1">ROUNDUP(AC58*360/3600,3)</f>
        <v>1.3999999999999999E-2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1.4099999999999998E-2</v>
      </c>
      <c r="BE58" s="136"/>
      <c r="BF58" s="136"/>
      <c r="BG58" s="136"/>
      <c r="BH58" s="136"/>
      <c r="BI58" s="136"/>
      <c r="BJ58" s="137"/>
      <c r="BK58" s="132">
        <f t="shared" ca="1" si="5"/>
        <v>-0.7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0.94699999999999995</v>
      </c>
      <c r="AD59" s="158"/>
      <c r="AE59" s="158"/>
      <c r="AF59" s="158"/>
      <c r="AG59" s="158"/>
      <c r="AH59" s="158"/>
      <c r="AI59" s="159"/>
      <c r="AJ59" s="174">
        <f ca="1">AQ58+RANDBETWEEN(15,18)/1000</f>
        <v>1986.7829999999999</v>
      </c>
      <c r="AK59" s="175"/>
      <c r="AL59" s="175"/>
      <c r="AM59" s="175"/>
      <c r="AN59" s="175"/>
      <c r="AO59" s="175"/>
      <c r="AP59" s="176"/>
      <c r="AQ59" s="126">
        <f ca="1">AJ59+AW59</f>
        <v>1986.8149999999998</v>
      </c>
      <c r="AR59" s="127"/>
      <c r="AS59" s="127"/>
      <c r="AT59" s="127"/>
      <c r="AU59" s="127"/>
      <c r="AV59" s="128"/>
      <c r="AW59" s="123">
        <f ca="1">ROUNDUP(AC59*120/3600,3)</f>
        <v>3.2000000000000001E-2</v>
      </c>
      <c r="AX59" s="130"/>
      <c r="AY59" s="130"/>
      <c r="AZ59" s="130"/>
      <c r="BA59" s="130"/>
      <c r="BB59" s="130"/>
      <c r="BC59" s="131"/>
      <c r="BD59" s="135">
        <f ca="1">AW59+RANDBETWEEN(-5,5)/10000</f>
        <v>3.1899999999999998E-2</v>
      </c>
      <c r="BE59" s="160"/>
      <c r="BF59" s="160"/>
      <c r="BG59" s="160"/>
      <c r="BH59" s="160"/>
      <c r="BI59" s="160"/>
      <c r="BJ59" s="161"/>
      <c r="BK59" s="132">
        <f ca="1">ROUND(((AW59-BD59)/BD59)*100,1)</f>
        <v>0.3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0.89100000000000001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1986.8309999999999</v>
      </c>
      <c r="AK60" s="120"/>
      <c r="AL60" s="120"/>
      <c r="AM60" s="120"/>
      <c r="AN60" s="120"/>
      <c r="AO60" s="120"/>
      <c r="AP60" s="121"/>
      <c r="AQ60" s="123">
        <f t="shared" ca="1" si="0"/>
        <v>1986.8609999999999</v>
      </c>
      <c r="AR60" s="124"/>
      <c r="AS60" s="124"/>
      <c r="AT60" s="124"/>
      <c r="AU60" s="124"/>
      <c r="AV60" s="125"/>
      <c r="AW60" s="123">
        <f t="shared" ref="AW60:AW61" ca="1" si="7">ROUNDUP(AC60*120/3600,3)</f>
        <v>3.0000000000000002E-2</v>
      </c>
      <c r="AX60" s="130"/>
      <c r="AY60" s="130"/>
      <c r="AZ60" s="130"/>
      <c r="BA60" s="130"/>
      <c r="BB60" s="130"/>
      <c r="BC60" s="131"/>
      <c r="BD60" s="135">
        <f ca="1">AW60+RANDBETWEEN(-5,5)/10000</f>
        <v>3.0400000000000003E-2</v>
      </c>
      <c r="BE60" s="160"/>
      <c r="BF60" s="160"/>
      <c r="BG60" s="160"/>
      <c r="BH60" s="160"/>
      <c r="BI60" s="160"/>
      <c r="BJ60" s="161"/>
      <c r="BK60" s="132">
        <f ca="1">ROUND(((AW60-BD60)/BD60)*100,1)</f>
        <v>-1.3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0.91300000000000003</v>
      </c>
      <c r="AD61" s="158"/>
      <c r="AE61" s="158"/>
      <c r="AF61" s="158"/>
      <c r="AG61" s="158"/>
      <c r="AH61" s="158"/>
      <c r="AI61" s="159"/>
      <c r="AJ61" s="171">
        <f ca="1">AQ60+RANDBETWEEN(15,18)/1000</f>
        <v>1986.8779999999999</v>
      </c>
      <c r="AK61" s="172"/>
      <c r="AL61" s="172"/>
      <c r="AM61" s="172"/>
      <c r="AN61" s="172"/>
      <c r="AO61" s="172"/>
      <c r="AP61" s="173"/>
      <c r="AQ61" s="129">
        <f t="shared" ca="1" si="0"/>
        <v>1986.9089999999999</v>
      </c>
      <c r="AR61" s="130"/>
      <c r="AS61" s="130"/>
      <c r="AT61" s="130"/>
      <c r="AU61" s="130"/>
      <c r="AV61" s="131"/>
      <c r="AW61" s="123">
        <f t="shared" ca="1" si="7"/>
        <v>3.1E-2</v>
      </c>
      <c r="AX61" s="130"/>
      <c r="AY61" s="130"/>
      <c r="AZ61" s="130"/>
      <c r="BA61" s="130"/>
      <c r="BB61" s="130"/>
      <c r="BC61" s="131"/>
      <c r="BD61" s="135">
        <f ca="1">AW61+RANDBETWEEN(-5,5)/10000</f>
        <v>3.1199999999999999E-2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-0.6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228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45938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tabSelected="1"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269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2005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270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271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229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272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233</v>
      </c>
      <c r="C8" s="13" t="s">
        <v>234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45938</v>
      </c>
      <c r="C9" s="13"/>
      <c r="D9" s="13"/>
      <c r="E9" s="13"/>
    </row>
    <row r="10" spans="1:21" ht="18" x14ac:dyDescent="0.35">
      <c r="A10" s="11" t="s">
        <v>15</v>
      </c>
      <c r="B10" s="76">
        <v>24.2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59.8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105.6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MATCH(B1,K53:K118,0)</f>
        <v>36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162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162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186</v>
      </c>
      <c r="L55" s="69" t="s">
        <v>162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187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162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162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188</v>
      </c>
      <c r="L58" s="69" t="s">
        <v>162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189</v>
      </c>
      <c r="W58" s="68" t="s">
        <v>190</v>
      </c>
      <c r="X58" s="7"/>
    </row>
    <row r="59" spans="11:24" s="60" customFormat="1" x14ac:dyDescent="0.3">
      <c r="K59" s="55" t="s">
        <v>170</v>
      </c>
      <c r="L59" s="69" t="s">
        <v>162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168</v>
      </c>
      <c r="W59" s="55" t="s">
        <v>169</v>
      </c>
      <c r="X59" s="7"/>
    </row>
    <row r="60" spans="11:24" s="60" customFormat="1" x14ac:dyDescent="0.3">
      <c r="K60" s="55" t="s">
        <v>220</v>
      </c>
      <c r="L60" s="69" t="s">
        <v>162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221</v>
      </c>
      <c r="X60" s="7"/>
    </row>
    <row r="61" spans="11:24" s="60" customFormat="1" x14ac:dyDescent="0.3">
      <c r="K61" s="55" t="s">
        <v>132</v>
      </c>
      <c r="L61" s="69" t="s">
        <v>162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212</v>
      </c>
      <c r="L62" s="69" t="s">
        <v>214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213</v>
      </c>
      <c r="X62" s="7"/>
    </row>
    <row r="63" spans="11:24" s="60" customFormat="1" x14ac:dyDescent="0.3">
      <c r="K63" s="55" t="s">
        <v>120</v>
      </c>
      <c r="L63" s="69" t="s">
        <v>214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162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162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162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162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206</v>
      </c>
      <c r="L68" s="69" t="s">
        <v>162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204</v>
      </c>
      <c r="W68" s="55" t="s">
        <v>205</v>
      </c>
      <c r="X68" s="7"/>
    </row>
    <row r="69" spans="11:24" s="60" customFormat="1" ht="19.2" customHeight="1" x14ac:dyDescent="0.3">
      <c r="K69" s="68" t="s">
        <v>250</v>
      </c>
      <c r="L69" s="69" t="s">
        <v>162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249</v>
      </c>
      <c r="W69" s="68" t="s">
        <v>111</v>
      </c>
      <c r="X69" s="7"/>
    </row>
    <row r="70" spans="11:24" s="60" customFormat="1" ht="19.2" customHeight="1" x14ac:dyDescent="0.3">
      <c r="K70" s="68" t="s">
        <v>248</v>
      </c>
      <c r="L70" s="69" t="s">
        <v>162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249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162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162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200</v>
      </c>
      <c r="L73" s="69" t="s">
        <v>162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198</v>
      </c>
      <c r="W73" s="55" t="s">
        <v>199</v>
      </c>
      <c r="X73" s="7"/>
    </row>
    <row r="74" spans="11:24" s="60" customFormat="1" x14ac:dyDescent="0.3">
      <c r="K74" s="68" t="s">
        <v>177</v>
      </c>
      <c r="L74" s="69" t="s">
        <v>162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178</v>
      </c>
      <c r="W74" s="68" t="s">
        <v>179</v>
      </c>
      <c r="X74" s="7"/>
    </row>
    <row r="75" spans="11:24" s="60" customFormat="1" x14ac:dyDescent="0.3">
      <c r="K75" s="55" t="s">
        <v>243</v>
      </c>
      <c r="L75" s="69" t="s">
        <v>162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244</v>
      </c>
      <c r="W75" s="68" t="s">
        <v>245</v>
      </c>
      <c r="X75" s="7"/>
    </row>
    <row r="76" spans="11:24" s="60" customFormat="1" ht="20.399999999999999" x14ac:dyDescent="0.3">
      <c r="K76" s="68" t="s">
        <v>175</v>
      </c>
      <c r="L76" s="69" t="s">
        <v>162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174</v>
      </c>
      <c r="W76" s="68" t="s">
        <v>176</v>
      </c>
      <c r="X76" s="7"/>
    </row>
    <row r="77" spans="11:24" s="60" customFormat="1" x14ac:dyDescent="0.3">
      <c r="K77" s="68" t="s">
        <v>217</v>
      </c>
      <c r="L77" s="69" t="s">
        <v>162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218</v>
      </c>
      <c r="W77" s="68" t="s">
        <v>185</v>
      </c>
      <c r="X77" s="7"/>
    </row>
    <row r="78" spans="11:24" s="60" customFormat="1" x14ac:dyDescent="0.3">
      <c r="K78" s="68" t="s">
        <v>215</v>
      </c>
      <c r="L78" s="69" t="s">
        <v>162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216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257</v>
      </c>
      <c r="L80" s="69" t="s">
        <v>163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255</v>
      </c>
      <c r="W80" s="68" t="s">
        <v>256</v>
      </c>
      <c r="X80" s="7"/>
    </row>
    <row r="81" spans="11:24" s="60" customFormat="1" x14ac:dyDescent="0.3">
      <c r="K81" s="68" t="s">
        <v>180</v>
      </c>
      <c r="L81" s="69" t="s">
        <v>162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181</v>
      </c>
      <c r="W81" s="68" t="s">
        <v>182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241</v>
      </c>
      <c r="L83" s="69" t="s">
        <v>162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242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162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227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227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267</v>
      </c>
      <c r="L87" s="69" t="s">
        <v>162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158</v>
      </c>
      <c r="W87" s="55" t="s">
        <v>159</v>
      </c>
      <c r="X87" s="7"/>
    </row>
    <row r="88" spans="11:24" s="60" customFormat="1" ht="17.399999999999999" customHeight="1" x14ac:dyDescent="0.3">
      <c r="K88" s="68" t="s">
        <v>266</v>
      </c>
      <c r="L88" s="69" t="s">
        <v>162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29" t="s">
        <v>158</v>
      </c>
      <c r="W88" s="55" t="s">
        <v>268</v>
      </c>
      <c r="X88" s="7"/>
    </row>
    <row r="89" spans="11:24" s="60" customFormat="1" ht="21" customHeight="1" x14ac:dyDescent="0.3">
      <c r="K89" s="68" t="s">
        <v>135</v>
      </c>
      <c r="L89" s="69" t="s">
        <v>162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136</v>
      </c>
      <c r="W89" s="68" t="s">
        <v>137</v>
      </c>
      <c r="X89" s="7"/>
    </row>
    <row r="90" spans="11:24" s="60" customFormat="1" ht="21" customHeight="1" x14ac:dyDescent="0.3">
      <c r="K90" s="68" t="s">
        <v>224</v>
      </c>
      <c r="L90" s="69" t="s">
        <v>162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223</v>
      </c>
      <c r="W90" s="68" t="s">
        <v>113</v>
      </c>
      <c r="X90" s="7"/>
    </row>
    <row r="91" spans="11:24" s="60" customFormat="1" x14ac:dyDescent="0.3">
      <c r="K91" s="68" t="s">
        <v>222</v>
      </c>
      <c r="L91" s="69" t="s">
        <v>162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223</v>
      </c>
      <c r="W91" s="68" t="s">
        <v>138</v>
      </c>
      <c r="X91" s="7"/>
    </row>
    <row r="92" spans="11:24" s="60" customFormat="1" x14ac:dyDescent="0.3">
      <c r="K92" s="68" t="s">
        <v>192</v>
      </c>
      <c r="L92" s="69" t="s">
        <v>162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193</v>
      </c>
      <c r="X92" s="7"/>
    </row>
    <row r="93" spans="11:24" s="60" customFormat="1" x14ac:dyDescent="0.3">
      <c r="K93" s="68" t="s">
        <v>207</v>
      </c>
      <c r="L93" s="69" t="s">
        <v>162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208</v>
      </c>
      <c r="X93" s="7"/>
    </row>
    <row r="94" spans="11:24" s="60" customFormat="1" x14ac:dyDescent="0.3">
      <c r="K94" s="68" t="s">
        <v>114</v>
      </c>
      <c r="L94" s="69" t="s">
        <v>162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116</v>
      </c>
      <c r="X94" s="7"/>
    </row>
    <row r="95" spans="11:24" s="60" customFormat="1" x14ac:dyDescent="0.3">
      <c r="K95" s="68" t="s">
        <v>225</v>
      </c>
      <c r="L95" s="69" t="s">
        <v>162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115</v>
      </c>
      <c r="W95" s="68" t="s">
        <v>226</v>
      </c>
      <c r="X95" s="7"/>
    </row>
    <row r="96" spans="11:24" s="60" customFormat="1" x14ac:dyDescent="0.3">
      <c r="K96" s="68" t="s">
        <v>156</v>
      </c>
      <c r="L96" s="69" t="s">
        <v>163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157</v>
      </c>
      <c r="X96" s="7"/>
    </row>
    <row r="97" spans="11:24" s="60" customFormat="1" ht="19.2" customHeight="1" x14ac:dyDescent="0.3">
      <c r="K97" s="68" t="s">
        <v>153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154</v>
      </c>
      <c r="W97" s="68" t="s">
        <v>155</v>
      </c>
      <c r="X97" s="7"/>
    </row>
    <row r="98" spans="11:24" s="60" customFormat="1" ht="19.2" customHeight="1" x14ac:dyDescent="0.3">
      <c r="K98" s="68" t="s">
        <v>183</v>
      </c>
      <c r="L98" s="69" t="s">
        <v>162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184</v>
      </c>
      <c r="W98" s="68" t="s">
        <v>185</v>
      </c>
      <c r="X98" s="7"/>
    </row>
    <row r="99" spans="11:24" s="60" customFormat="1" ht="19.2" customHeight="1" x14ac:dyDescent="0.3">
      <c r="K99" s="68" t="s">
        <v>209</v>
      </c>
      <c r="L99" s="69" t="s">
        <v>162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210</v>
      </c>
      <c r="W99" s="68" t="s">
        <v>211</v>
      </c>
      <c r="X99" s="7"/>
    </row>
    <row r="100" spans="11:24" s="60" customFormat="1" ht="20.399999999999999" x14ac:dyDescent="0.3">
      <c r="K100" s="68" t="s">
        <v>258</v>
      </c>
      <c r="L100" s="69" t="s">
        <v>162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173</v>
      </c>
      <c r="W100" s="68" t="s">
        <v>259</v>
      </c>
      <c r="X100" s="7"/>
    </row>
    <row r="101" spans="11:24" s="60" customFormat="1" x14ac:dyDescent="0.3">
      <c r="K101" s="68" t="s">
        <v>171</v>
      </c>
      <c r="L101" s="69" t="s">
        <v>162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173</v>
      </c>
      <c r="W101" s="68" t="s">
        <v>172</v>
      </c>
      <c r="X101" s="7"/>
    </row>
    <row r="102" spans="11:24" s="60" customFormat="1" x14ac:dyDescent="0.3">
      <c r="K102" s="68" t="s">
        <v>160</v>
      </c>
      <c r="L102" s="69" t="s">
        <v>162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161</v>
      </c>
      <c r="W102" s="68" t="s">
        <v>125</v>
      </c>
      <c r="X102" s="7"/>
    </row>
    <row r="103" spans="11:24" s="60" customFormat="1" x14ac:dyDescent="0.3">
      <c r="K103" s="68" t="s">
        <v>123</v>
      </c>
      <c r="L103" s="69" t="s">
        <v>163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124</v>
      </c>
      <c r="W103" s="68" t="s">
        <v>125</v>
      </c>
      <c r="X103" s="7"/>
    </row>
    <row r="104" spans="11:24" s="60" customFormat="1" ht="20.399999999999999" x14ac:dyDescent="0.3">
      <c r="K104" s="68" t="s">
        <v>238</v>
      </c>
      <c r="L104" s="69" t="s">
        <v>240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239</v>
      </c>
      <c r="W104" s="68" t="s">
        <v>166</v>
      </c>
      <c r="X104" s="7"/>
    </row>
    <row r="105" spans="11:24" s="60" customFormat="1" ht="20.399999999999999" x14ac:dyDescent="0.3">
      <c r="K105" s="68" t="s">
        <v>165</v>
      </c>
      <c r="L105" s="69" t="s">
        <v>167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164</v>
      </c>
      <c r="W105" s="68" t="s">
        <v>166</v>
      </c>
      <c r="X105" s="7"/>
    </row>
    <row r="106" spans="11:24" s="60" customFormat="1" x14ac:dyDescent="0.3">
      <c r="K106" s="68" t="s">
        <v>230</v>
      </c>
      <c r="L106" s="69" t="s">
        <v>162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231</v>
      </c>
      <c r="W106" s="68" t="s">
        <v>232</v>
      </c>
      <c r="X106" s="7"/>
    </row>
    <row r="107" spans="11:24" s="60" customFormat="1" ht="20.399999999999999" customHeight="1" x14ac:dyDescent="0.3">
      <c r="K107" s="68" t="s">
        <v>263</v>
      </c>
      <c r="L107" s="69" t="s">
        <v>162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264</v>
      </c>
      <c r="W107" s="68" t="s">
        <v>265</v>
      </c>
      <c r="X107" s="7"/>
    </row>
    <row r="108" spans="11:24" s="60" customFormat="1" ht="20.399999999999999" x14ac:dyDescent="0.3">
      <c r="K108" s="68" t="s">
        <v>201</v>
      </c>
      <c r="L108" s="69" t="s">
        <v>162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202</v>
      </c>
      <c r="W108" s="68" t="s">
        <v>203</v>
      </c>
      <c r="X108" s="7"/>
    </row>
    <row r="109" spans="11:24" s="60" customFormat="1" x14ac:dyDescent="0.3">
      <c r="K109" s="68" t="s">
        <v>197</v>
      </c>
      <c r="L109" s="69" t="s">
        <v>162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198</v>
      </c>
      <c r="W109" s="68" t="s">
        <v>196</v>
      </c>
      <c r="X109" s="7"/>
    </row>
    <row r="110" spans="11:24" s="60" customFormat="1" ht="19.8" customHeight="1" x14ac:dyDescent="0.3">
      <c r="K110" s="68" t="s">
        <v>194</v>
      </c>
      <c r="L110" s="69" t="s">
        <v>162</v>
      </c>
      <c r="M110" s="70">
        <v>0.03</v>
      </c>
      <c r="N110" s="70">
        <v>0.15</v>
      </c>
      <c r="O110" s="70">
        <v>0.12</v>
      </c>
      <c r="P110" s="70">
        <v>1.5</v>
      </c>
      <c r="Q110" s="70">
        <v>3</v>
      </c>
      <c r="R110" s="70">
        <v>5</v>
      </c>
      <c r="S110" s="70">
        <v>2</v>
      </c>
      <c r="T110" s="71" t="s">
        <v>34</v>
      </c>
      <c r="U110" s="71" t="s">
        <v>35</v>
      </c>
      <c r="V110" s="71" t="s">
        <v>195</v>
      </c>
      <c r="W110" s="68" t="s">
        <v>196</v>
      </c>
      <c r="X110" s="7"/>
    </row>
    <row r="111" spans="11:24" s="60" customFormat="1" ht="19.8" customHeight="1" x14ac:dyDescent="0.3">
      <c r="K111" s="68" t="s">
        <v>235</v>
      </c>
      <c r="L111" s="69" t="s">
        <v>162</v>
      </c>
      <c r="M111" s="28">
        <v>0.05</v>
      </c>
      <c r="N111" s="28">
        <v>0.25</v>
      </c>
      <c r="O111" s="28">
        <v>0.2</v>
      </c>
      <c r="P111" s="28">
        <v>2.5</v>
      </c>
      <c r="Q111" s="28">
        <v>5</v>
      </c>
      <c r="R111" s="28">
        <v>5</v>
      </c>
      <c r="S111" s="28">
        <v>2</v>
      </c>
      <c r="T111" s="29" t="s">
        <v>34</v>
      </c>
      <c r="U111" s="29" t="s">
        <v>35</v>
      </c>
      <c r="V111" s="71" t="s">
        <v>236</v>
      </c>
      <c r="W111" s="68" t="s">
        <v>237</v>
      </c>
      <c r="X111" s="7"/>
    </row>
    <row r="112" spans="11:24" s="60" customFormat="1" ht="19.8" customHeight="1" x14ac:dyDescent="0.3">
      <c r="K112" s="68" t="s">
        <v>246</v>
      </c>
      <c r="L112" s="69" t="s">
        <v>162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247</v>
      </c>
      <c r="W112" s="68" t="s">
        <v>113</v>
      </c>
      <c r="X112" s="7"/>
    </row>
    <row r="113" spans="11:24" s="60" customFormat="1" ht="19.8" customHeight="1" x14ac:dyDescent="0.3">
      <c r="K113" s="68" t="s">
        <v>262</v>
      </c>
      <c r="L113" s="69" t="s">
        <v>162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260</v>
      </c>
      <c r="W113" s="68" t="s">
        <v>138</v>
      </c>
      <c r="X113" s="7"/>
    </row>
    <row r="114" spans="11:24" s="60" customFormat="1" ht="20.399999999999999" x14ac:dyDescent="0.3">
      <c r="K114" s="68" t="s">
        <v>261</v>
      </c>
      <c r="L114" s="69" t="s">
        <v>162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260</v>
      </c>
      <c r="W114" s="68" t="s">
        <v>113</v>
      </c>
      <c r="X114" s="7"/>
    </row>
    <row r="115" spans="11:24" s="60" customFormat="1" ht="20.399999999999999" x14ac:dyDescent="0.3">
      <c r="K115" s="68" t="s">
        <v>254</v>
      </c>
      <c r="L115" s="69" t="s">
        <v>162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191</v>
      </c>
      <c r="W115" s="68" t="s">
        <v>138</v>
      </c>
      <c r="X115" s="7"/>
    </row>
    <row r="116" spans="11:24" s="60" customFormat="1" ht="20.399999999999999" x14ac:dyDescent="0.3">
      <c r="K116" s="68" t="s">
        <v>253</v>
      </c>
      <c r="L116" s="69" t="s">
        <v>162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191</v>
      </c>
      <c r="W116" s="68" t="s">
        <v>113</v>
      </c>
      <c r="X116" s="7"/>
    </row>
    <row r="117" spans="11:24" s="60" customFormat="1" ht="20.399999999999999" x14ac:dyDescent="0.3">
      <c r="K117" s="68" t="s">
        <v>251</v>
      </c>
      <c r="L117" s="69" t="s">
        <v>162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138</v>
      </c>
      <c r="X117" s="7"/>
    </row>
    <row r="118" spans="11:24" s="33" customFormat="1" ht="20.399999999999999" x14ac:dyDescent="0.3">
      <c r="K118" s="68" t="s">
        <v>252</v>
      </c>
      <c r="L118" s="69" t="s">
        <v>162</v>
      </c>
      <c r="M118" s="70">
        <v>0.03</v>
      </c>
      <c r="N118" s="70">
        <v>0.15</v>
      </c>
      <c r="O118" s="70">
        <v>0.12</v>
      </c>
      <c r="P118" s="70">
        <v>1.5</v>
      </c>
      <c r="Q118" s="70">
        <v>3</v>
      </c>
      <c r="R118" s="70">
        <v>5</v>
      </c>
      <c r="S118" s="70">
        <v>2</v>
      </c>
      <c r="T118" s="71" t="s">
        <v>34</v>
      </c>
      <c r="U118" s="71" t="s">
        <v>35</v>
      </c>
      <c r="V118" s="71" t="s">
        <v>112</v>
      </c>
      <c r="W118" s="68" t="s">
        <v>113</v>
      </c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X121" s="7"/>
    </row>
    <row r="122" spans="11:24" x14ac:dyDescent="0.3">
      <c r="K122" s="74"/>
      <c r="X122" s="7"/>
    </row>
    <row r="123" spans="11:24" x14ac:dyDescent="0.3">
      <c r="X123" s="7"/>
    </row>
    <row r="125" spans="11:24" x14ac:dyDescent="0.3">
      <c r="X125" s="7"/>
    </row>
    <row r="126" spans="11:24" x14ac:dyDescent="0.3">
      <c r="K126" s="60"/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$K$53:$K$718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2025-10-01T15:36:05Z</cp:lastPrinted>
  <dcterms:created xsi:type="dcterms:W3CDTF">2015-01-22T18:16:29Z</dcterms:created>
  <dcterms:modified xsi:type="dcterms:W3CDTF">2025-10-08T15:02:27Z</dcterms:modified>
</cp:coreProperties>
</file>