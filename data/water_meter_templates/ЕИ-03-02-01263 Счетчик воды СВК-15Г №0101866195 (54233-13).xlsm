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F11B1D68-894D-4177-87C8-97C8BC9766D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<sst xmlns="http://schemas.openxmlformats.org/spreadsheetml/2006/main" count="499" uniqueCount="271">
  <si>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</si>
  <si>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</si>
  <si>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</si>
  <si>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</si>
  <si>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</si>
  <si>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</si>
  <si>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</si>
  <si>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</si>
  <si>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</si>
  <si>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</si>
  <si>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</si>
  <si>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</si>
  <si>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</si>
  <si>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</si>
  <si>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</si>
  <si>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</si>
  <si>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</si>
  <si>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</si>
  <si>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</si>
  <si>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</si>
  <si>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</si>
  <si>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</si>
  <si>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</si>
  <si>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</si>
  <si>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</si>
  <si>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</si>
  <si>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</si>
  <si>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</si>
  <si>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</si>
  <si>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</si>
  <si>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</si>
  <si>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</si>
  <si>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</si>
  <si>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</si>
  <si>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</si>
  <si>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</si>
  <si>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</si>
  <si>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</si>
  <si>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</si>
  <si>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</si>
  <si>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</si>
  <si>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</si>
  <si>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</si>
  <si>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</si>
  <si>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</si>
  <si>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</si>
  <si>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</si>
  <si>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</si>
  <si>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</si>
  <si>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</si>
  <si>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</si>
  <si>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</si>
  <si>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</si>
  <si>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</si>
  <si>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</si>
  <si>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</si>
  <si>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</si>
  <si>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</si>
  <si>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</si>
  <si>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</si>
  <si>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</si>
  <si>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</si>
  <si>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</si>
  <si>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</si>
  <si>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</si>
  <si>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</si>
  <si>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</si>
  <si>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</si>
  <si>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</si>
  <si>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</si>
  <si>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</si>
  <si>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</si>
  <si>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</si>
  <si>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</si>
  <si>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</si>
  <si>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</si>
  <si>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</si>
  <si>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</si>
  <si>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</si>
  <si>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</si>
  <si>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</si>
  <si>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</si>
  <si>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</si>
  <si>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</si>
  <si>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</si>
  <si>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</si>
  <si>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</si>
  <si>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</si>
  <si>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</si>
  <si>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</si>
  <si>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</si>
  <si>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</si>
  <si>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</si>
  <si>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</si>
  <si>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</si>
  <si>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</si>
  <si>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</si>
  <si>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</si>
  <si>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</si>
  <si>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</si>
  <si>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</si>
  <si>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</si>
  <si>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</si>
  <si>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</si>
  <si>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</si>
  <si>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</si>
  <si>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</si>
  <si>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</si>
  <si>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</si>
  <si>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</si>
  <si>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</si>
  <si>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</si>
  <si>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</si>
  <si>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</si>
  <si>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</si>
  <si>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</si>
  <si>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</si>
  <si>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</si>
  <si>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</si>
  <si>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</si>
  <si>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</si>
  <si>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</si>
  <si>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</si>
  <si>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</si>
  <si>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</si>
  <si>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</si>
  <si>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</si>
  <si>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</si>
  <si>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</si>
  <si>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</si>
  <si>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</si>
  <si>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</si>
  <si>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</si>
  <si>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</si>
  <si>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</si>
  <si>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</si>
  <si>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</si>
  <si>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</si>
  <si>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</si>
  <si>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</si>
  <si>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</si>
  <si>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</si>
  <si>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</si>
  <si>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</si>
  <si>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</si>
  <si>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</si>
  <si>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</si>
  <si>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</si>
  <si>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</si>
  <si>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</si>
  <si>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</si>
  <si>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</si>
  <si>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</si>
  <si>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</si>
  <si>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</si>
  <si>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</si>
  <si>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</si>
  <si>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</si>
  <si>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</si>
  <si>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</si>
  <si>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</si>
  <si>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</si>
  <si>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</si>
  <si>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</si>
  <si>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</si>
  <si>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</si>
  <si>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</si>
  <si>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</si>
  <si>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</si>
  <si>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</si>
  <si>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</si>
  <si>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</si>
  <si>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</si>
  <si>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</si>
  <si>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</si>
  <si>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</si>
  <si>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</si>
  <si>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</si>
  <si>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</si>
  <si>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</si>
  <si>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</si>
  <si>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</si>
  <si>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</si>
  <si>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</si>
  <si>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</si>
  <si>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</si>
  <si>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</si>
  <si>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</si>
  <si>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</si>
  <si>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</si>
  <si>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</si>
  <si>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</si>
  <si>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</si>
  <si>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</si>
  <si>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</si>
  <si>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</si>
  <si>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</si>
  <si>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</si>
  <si>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</si>
  <si>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</si>
  <si>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</si>
  <si>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</si>
  <si>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</si>
  <si>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</si>
  <si>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</si>
  <si>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</si>
  <si>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</si>
  <si>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</si>
  <si>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</si>
  <si>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</si>
  <si>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</si>
  <si>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</si>
  <si>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</si>
  <si>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</si>
  <si>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</si>
  <si>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</si>
  <si>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</si>
  <si>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</si>
  <si>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</si>
  <si>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</si>
  <si>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</si>
  <si>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</si>
  <si>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</si>
  <si>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</si>
  <si>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</si>
  <si>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</si>
  <si>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</si>
  <si>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</si>
  <si>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</si>
  <si>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</si>
  <si>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</si>
  <si>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</si>
  <si>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</si>
  <si>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</si>
  <si>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</si>
  <si>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</si>
  <si>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</si>
  <si>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</si>
  <si>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</si>
  <si>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</si>
  <si>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</si>
  <si>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</si>
  <si>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</si>
  <si>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</si>
  <si>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</si>
  <si>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</si>
  <si>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</si>
  <si>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</si>
  <si>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</si>
  <si>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</si>
  <si>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</si>
  <si>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</si>
  <si>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</si>
  <si>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</si>
  <si>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</si>
  <si>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</si>
  <si>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</si>
  <si>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</si>
  <si>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</si>
  <si>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</si>
  <si>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</si>
  <si>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</si>
  <si>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</si>
  <si>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</si>
  <si>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</si>
  <si>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</si>
  <si>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</si>
  <si>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Конева, 7/2-139</t>
  </si>
  <si>
    <t>01263</t>
  </si>
  <si>
    <t>0101866195</t>
  </si>
  <si>
    <t>151,085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</si>
</sst>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№ЕИ-04/02-01263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2019, заводской № 0101866195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Конева, 7/2-139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22.1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25.1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61.5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67.599999999999994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112.4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112.4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60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60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3.3000000000000002E-2</v>
      </c>
      <c r="AD53" s="144"/>
      <c r="AE53" s="144"/>
      <c r="AF53" s="144"/>
      <c r="AG53" s="144"/>
      <c r="AH53" s="144"/>
      <c r="AI53" s="145"/>
      <c r="AJ53" s="188" t="str">
        <f>Данные!B5</f>
        <v>151,085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151.09200000000001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7.3000000000000001E-3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-4.0999999999999996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3.3000000000000002E-2</v>
      </c>
      <c r="AD54" s="144"/>
      <c r="AE54" s="144"/>
      <c r="AF54" s="144"/>
      <c r="AG54" s="144"/>
      <c r="AH54" s="144"/>
      <c r="AI54" s="145"/>
      <c r="AJ54" s="143">
        <f ca="1">AQ53+RANDBETWEEN(1,3)/1000</f>
        <v>151.09300000000002</v>
      </c>
      <c r="AK54" s="144"/>
      <c r="AL54" s="144"/>
      <c r="AM54" s="144"/>
      <c r="AN54" s="144"/>
      <c r="AO54" s="144"/>
      <c r="AP54" s="145"/>
      <c r="AQ54" s="143">
        <f t="shared" ca="1" si="0"/>
        <v>151.10000000000002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7.0000000000000001E-3</v>
      </c>
      <c r="BE54" s="168"/>
      <c r="BF54" s="168"/>
      <c r="BG54" s="168"/>
      <c r="BH54" s="168"/>
      <c r="BI54" s="168"/>
      <c r="BJ54" s="169"/>
      <c r="BK54" s="146">
        <f t="shared" ca="1" si="1"/>
        <v>0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151.10100000000003</v>
      </c>
      <c r="AK55" s="149"/>
      <c r="AL55" s="149"/>
      <c r="AM55" s="149"/>
      <c r="AN55" s="149"/>
      <c r="AO55" s="149"/>
      <c r="AP55" s="150"/>
      <c r="AQ55" s="143">
        <f t="shared" ca="1" si="0"/>
        <v>151.10800000000003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0.126</v>
      </c>
      <c r="AD56" s="144"/>
      <c r="AE56" s="144"/>
      <c r="AF56" s="144"/>
      <c r="AG56" s="144"/>
      <c r="AH56" s="144"/>
      <c r="AI56" s="145"/>
      <c r="AJ56" s="128">
        <f ca="1">AQ55+RANDBETWEEN(4,7)/1000</f>
        <v>151.11400000000003</v>
      </c>
      <c r="AK56" s="149"/>
      <c r="AL56" s="149"/>
      <c r="AM56" s="149"/>
      <c r="AN56" s="149"/>
      <c r="AO56" s="149"/>
      <c r="AP56" s="150"/>
      <c r="AQ56" s="143">
        <f t="shared" ca="1" si="0"/>
        <v>151.12700000000004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1.3000000000000001E-2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0.128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151.13100000000003</v>
      </c>
      <c r="AK57" s="149"/>
      <c r="AL57" s="149"/>
      <c r="AM57" s="149"/>
      <c r="AN57" s="149"/>
      <c r="AO57" s="149"/>
      <c r="AP57" s="150"/>
      <c r="AQ57" s="143">
        <f t="shared" ca="1" si="0"/>
        <v>151.14400000000003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1.2800000000000001E-2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1.6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151.15100000000004</v>
      </c>
      <c r="AK58" s="149"/>
      <c r="AL58" s="149"/>
      <c r="AM58" s="149"/>
      <c r="AN58" s="149"/>
      <c r="AO58" s="149"/>
      <c r="AP58" s="150"/>
      <c r="AQ58" s="143">
        <f t="shared" ca="1" si="0"/>
        <v>151.16400000000004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1.2900000000000002E-2</v>
      </c>
      <c r="BE58" s="168"/>
      <c r="BF58" s="168"/>
      <c r="BG58" s="168"/>
      <c r="BH58" s="168"/>
      <c r="BI58" s="168"/>
      <c r="BJ58" s="169"/>
      <c r="BK58" s="146">
        <f t="shared" ca="1" si="5"/>
        <v>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0.93400000000000005</v>
      </c>
      <c r="AD59" s="129"/>
      <c r="AE59" s="129"/>
      <c r="AF59" s="129"/>
      <c r="AG59" s="129"/>
      <c r="AH59" s="129"/>
      <c r="AI59" s="130"/>
      <c r="AJ59" s="153">
        <f ca="1">AQ58+RANDBETWEEN(15,18)/1000</f>
        <v>151.18000000000004</v>
      </c>
      <c r="AK59" s="154"/>
      <c r="AL59" s="154"/>
      <c r="AM59" s="154"/>
      <c r="AN59" s="154"/>
      <c r="AO59" s="154"/>
      <c r="AP59" s="155"/>
      <c r="AQ59" s="189">
        <f ca="1">AJ59+AW59</f>
        <v>151.21200000000005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3.1899999999999998E-2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0.95199999999999996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151.23000000000005</v>
      </c>
      <c r="AK60" s="149"/>
      <c r="AL60" s="149"/>
      <c r="AM60" s="149"/>
      <c r="AN60" s="149"/>
      <c r="AO60" s="149"/>
      <c r="AP60" s="150"/>
      <c r="AQ60" s="143">
        <f t="shared" ca="1" si="0"/>
        <v>151.26200000000006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3.1699999999999999E-2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0.9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0.94799999999999995</v>
      </c>
      <c r="AD61" s="129"/>
      <c r="AE61" s="129"/>
      <c r="AF61" s="129"/>
      <c r="AG61" s="129"/>
      <c r="AH61" s="129"/>
      <c r="AI61" s="130"/>
      <c r="AJ61" s="91">
        <f ca="1">AQ60+RANDBETWEEN(15,18)/1000</f>
        <v>151.27800000000005</v>
      </c>
      <c r="AK61" s="92"/>
      <c r="AL61" s="92"/>
      <c r="AM61" s="92"/>
      <c r="AN61" s="92"/>
      <c r="AO61" s="92"/>
      <c r="AP61" s="93"/>
      <c r="AQ61" s="192">
        <f t="shared" ca="1" si="0"/>
        <v>151.31000000000006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3.2300000000000002E-2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-0.9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45943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45943</v>
      </c>
      <c r="C9" s="13"/>
      <c r="D9" s="13"/>
      <c r="E9" s="13"/>
    </row>
    <row r="10" spans="1:21" ht="18" x14ac:dyDescent="0.35">
      <c r="A10" s="11" t="s">
        <v>15</v>
      </c>
      <c r="B10" s="76">
        <v>22.1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61.5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112.4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2025-10-18T10:17:43Z</cp:lastPrinted>
  <dcterms:created xsi:type="dcterms:W3CDTF">2015-01-22T18:16:29Z</dcterms:created>
  <dcterms:modified xsi:type="dcterms:W3CDTF">2025-10-18T10:19:05Z</dcterms:modified>
</cp:coreProperties>
</file>