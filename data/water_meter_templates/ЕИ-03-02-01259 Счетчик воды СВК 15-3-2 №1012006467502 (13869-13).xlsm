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8_10_2025\"/>
    </mc:Choice>
  </mc:AlternateContent>
  <xr:revisionPtr revIDLastSave="0" documentId="8_{64948BE6-1C6C-4444-9A87-7D38D7D30AC6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<sst xmlns="http://schemas.openxmlformats.org/spreadsheetml/2006/main" count="499" uniqueCount="271">
  <si>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</si>
  <si>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</si>
  <si>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</si>
  <si>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</si>
  <si>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</si>
  <si>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</si>
  <si>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</si>
  <si>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</si>
  <si>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</si>
  <si>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</si>
  <si>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</si>
  <si>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</si>
  <si>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</si>
  <si>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</si>
  <si>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</si>
  <si>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</si>
  <si>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</si>
  <si>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</si>
  <si>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</si>
  <si>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</si>
  <si>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</si>
  <si>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</si>
  <si>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</si>
  <si>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</si>
  <si>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</si>
  <si>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</si>
  <si>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</si>
  <si>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</si>
  <si>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</si>
  <si>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</si>
  <si>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</si>
  <si>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</si>
  <si>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</si>
  <si>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</si>
  <si>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</si>
  <si>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</si>
  <si>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</si>
  <si>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</si>
  <si>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</si>
  <si>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</si>
  <si>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</si>
  <si>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</si>
  <si>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</si>
  <si>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</si>
  <si>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</si>
  <si>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</si>
  <si>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</si>
  <si>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</si>
  <si>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</si>
  <si>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</si>
  <si>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</si>
  <si>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</si>
  <si>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</si>
  <si>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</si>
  <si>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</si>
  <si>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</si>
  <si>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</si>
  <si>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</si>
  <si>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</si>
  <si>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</si>
  <si>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</si>
  <si>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</si>
  <si>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</si>
  <si>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</si>
  <si>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</si>
  <si>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</si>
  <si>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</si>
  <si>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</si>
  <si>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</si>
  <si>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</si>
  <si>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</si>
  <si>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</si>
  <si>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</si>
  <si>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</si>
  <si>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</si>
  <si>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</si>
  <si>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</si>
  <si>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</si>
  <si>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</si>
  <si>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</si>
  <si>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</si>
  <si>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</si>
  <si>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</si>
  <si>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</si>
  <si>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</si>
  <si>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</si>
  <si>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</si>
  <si>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</si>
  <si>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</si>
  <si>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</si>
  <si>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</si>
  <si>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</si>
  <si>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</si>
  <si>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</si>
  <si>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</si>
  <si>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</si>
  <si>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</si>
  <si>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</si>
  <si>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</si>
  <si>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</si>
  <si>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</si>
  <si>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</si>
  <si>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</si>
  <si>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</si>
  <si>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</si>
  <si>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</si>
  <si>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</si>
  <si>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</si>
  <si>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</si>
  <si>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</si>
  <si>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</si>
  <si>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</si>
  <si>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</si>
  <si>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</si>
  <si>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</si>
  <si>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</si>
  <si>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</si>
  <si>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</si>
  <si>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</si>
  <si>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</si>
  <si>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</si>
  <si>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</si>
  <si>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</si>
  <si>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</si>
  <si>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</si>
  <si>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</si>
  <si>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</si>
  <si>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</si>
  <si>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</si>
  <si>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</si>
  <si>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</si>
  <si>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</si>
  <si>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</si>
  <si>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</si>
  <si>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</si>
  <si>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</si>
  <si>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</si>
  <si>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</si>
  <si>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</si>
  <si>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</si>
  <si>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</si>
  <si>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</si>
  <si>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</si>
  <si>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</si>
  <si>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</si>
  <si>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</si>
  <si>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</si>
  <si>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</si>
  <si>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</si>
  <si>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</si>
  <si>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</si>
  <si>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</si>
  <si>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</si>
  <si>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</si>
  <si>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</si>
  <si>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</si>
  <si>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</si>
  <si>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</si>
  <si>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</si>
  <si>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</si>
  <si>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</si>
  <si>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</si>
  <si>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</si>
  <si>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</si>
  <si>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</si>
  <si>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</si>
  <si>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</si>
  <si>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</si>
  <si>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</si>
  <si>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</si>
  <si>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</si>
  <si>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</si>
  <si>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</si>
  <si>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</si>
  <si>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</si>
  <si>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</si>
  <si>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</si>
  <si>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</si>
  <si>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</si>
  <si>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</si>
  <si>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</si>
  <si>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</si>
  <si>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</si>
  <si>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</si>
  <si>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</si>
  <si>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</si>
  <si>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</si>
  <si>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</si>
  <si>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</si>
  <si>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</si>
  <si>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</si>
  <si>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</si>
  <si>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</si>
  <si>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</si>
  <si>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</si>
  <si>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</si>
  <si>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</si>
  <si>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</si>
  <si>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</si>
  <si>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</si>
  <si>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</si>
  <si>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</si>
  <si>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</si>
  <si>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</si>
  <si>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</si>
  <si>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</si>
  <si>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</si>
  <si>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</si>
  <si>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</si>
  <si>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</si>
  <si>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</si>
  <si>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</si>
  <si>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</si>
  <si>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</si>
  <si>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</si>
  <si>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</si>
  <si>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</si>
  <si>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</si>
  <si>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</si>
  <si>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</si>
  <si>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</si>
  <si>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</si>
  <si>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</si>
  <si>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</si>
  <si>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</si>
  <si>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</si>
  <si>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</si>
  <si>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</si>
  <si>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</si>
  <si>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</si>
  <si>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</si>
  <si>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</si>
  <si>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</si>
  <si>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</si>
  <si>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</si>
  <si>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</si>
  <si>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</si>
  <si>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</si>
  <si>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</si>
  <si>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</si>
  <si>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</si>
  <si>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</si>
  <si>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</si>
  <si>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</si>
  <si>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</si>
  <si>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</si>
  <si>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</si>
  <si>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</si>
  <si>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</si>
  <si>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</si>
  <si>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</si>
  <si>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</si>
  <si>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</si>
  <si>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</si>
  <si>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</si>
  <si>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</si>
  <si>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</si>
  <si>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</si>
  <si>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</si>
  <si>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</si>
  <si>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</si>
  <si>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</si>
  <si>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</si>
  <si>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</si>
  <si>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</si>
  <si>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</si>
  <si>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</si>
  <si>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01259</t>
  </si>
  <si>
    <t>г. Киров, пр-т Строителей, 26-67</t>
  </si>
  <si>
    <t>1012006467502</t>
  </si>
  <si>
    <t>145,507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</si>
</sst>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28" fillId="0" borderId="15" xfId="0" applyFont="1" applyBorder="1" applyAlignment="1">
      <alignment horizontal="right" vertical="center"/>
    </xf>
    <xf numFmtId="0" fontId="29" fillId="0" borderId="12" xfId="0" applyFont="1" applyBorder="1"/>
    <xf numFmtId="0" fontId="29" fillId="0" borderId="4" xfId="0" applyFont="1" applyBorder="1"/>
    <xf numFmtId="0" fontId="29" fillId="0" borderId="0" xfId="0" applyFont="1"/>
    <xf numFmtId="0" fontId="29" fillId="0" borderId="10" xfId="0" applyFont="1" applyBorder="1"/>
    <xf numFmtId="0" fontId="29" fillId="0" borderId="1" xfId="0" applyFont="1" applyBorder="1"/>
    <xf numFmtId="0" fontId="28" fillId="0" borderId="12" xfId="0" applyFont="1" applyBorder="1" applyAlignment="1">
      <alignment horizontal="left" vertical="center"/>
    </xf>
    <xf numFmtId="0" fontId="29" fillId="0" borderId="13" xfId="0" applyFont="1" applyBorder="1"/>
    <xf numFmtId="0" fontId="29" fillId="0" borderId="14" xfId="0" applyFont="1" applyBorder="1"/>
    <xf numFmtId="0" fontId="29" fillId="0" borderId="8" xfId="0" applyFont="1" applyBorder="1"/>
    <xf numFmtId="0" fontId="35" fillId="0" borderId="17" xfId="0" applyFont="1" applyBorder="1" applyAlignment="1">
      <alignment horizontal="center"/>
    </xf>
    <xf numFmtId="0" fontId="27" fillId="0" borderId="18" xfId="0" applyFont="1" applyBorder="1"/>
    <xf numFmtId="0" fontId="27" fillId="0" borderId="19" xfId="0" applyFont="1" applyBorder="1"/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49" fontId="28" fillId="0" borderId="17" xfId="0" applyNumberFormat="1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167" fontId="28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4" fontId="25" fillId="0" borderId="0" xfId="0" applyNumberFormat="1" applyFont="1" applyBorder="1" applyAlignment="1">
      <alignment horizontal="left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9" fillId="0" borderId="15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9">
    <dxf>
      <fill>
        <patternFill>
          <bgColor theme="3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6" tableBorderDxfId="15">
  <autoFilter ref="K52:W117" xr:uid="{00000000-0009-0000-0100-000002000000}"/>
  <tableColumns count="13">
    <tableColumn id="1" xr3:uid="{00000000-0010-0000-0000-000001000000}" name="тип" dataDxfId="14"/>
    <tableColumn id="2" xr3:uid="{00000000-0010-0000-0000-000002000000}" name="мп" dataDxfId="13"/>
    <tableColumn id="3" xr3:uid="{00000000-0010-0000-0000-000003000000}" name="min" dataDxfId="12"/>
    <tableColumn id="4" xr3:uid="{00000000-0010-0000-0000-000004000000}" name="перех А" dataDxfId="11"/>
    <tableColumn id="5" xr3:uid="{00000000-0010-0000-0000-000005000000}" name="перех B" dataDxfId="10"/>
    <tableColumn id="6" xr3:uid="{00000000-0010-0000-0000-000006000000}" name="ном" dataDxfId="9"/>
    <tableColumn id="7" xr3:uid="{00000000-0010-0000-0000-000007000000}" name="max" dataDxfId="8"/>
    <tableColumn id="8" xr3:uid="{00000000-0010-0000-0000-000008000000}" name="порг1" dataDxfId="7"/>
    <tableColumn id="9" xr3:uid="{00000000-0010-0000-0000-000009000000}" name="погр2" dataDxfId="6"/>
    <tableColumn id="10" xr3:uid="{00000000-0010-0000-0000-00000A000000}" name="Столбец1" dataDxfId="5"/>
    <tableColumn id="11" xr3:uid="{00000000-0010-0000-0000-00000B000000}" name="Столбец2" dataDxfId="4"/>
    <tableColumn id="12" xr3:uid="{00000000-0010-0000-0000-00000C000000}" name="Столбец3" dataDxfId="3"/>
    <tableColumn id="14" xr3:uid="{00000000-0010-0000-0000-00000E000000}" name="Столбец4" dataDxfId="2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view="pageLayout" topLeftCell="A7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178" t="s">
        <v>98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178"/>
      <c r="AT1" s="178"/>
      <c r="AU1" s="178"/>
      <c r="AV1" s="178"/>
      <c r="AW1" s="178"/>
      <c r="AX1" s="178"/>
      <c r="AY1" s="178"/>
      <c r="AZ1" s="178"/>
      <c r="BA1" s="178"/>
      <c r="BB1" s="178"/>
      <c r="BC1" s="178"/>
      <c r="BD1" s="178"/>
      <c r="BE1" s="178"/>
      <c r="BF1" s="178"/>
      <c r="BG1" s="178"/>
      <c r="BH1" s="178"/>
      <c r="BI1" s="178"/>
      <c r="BJ1" s="178"/>
      <c r="BK1" s="178"/>
      <c r="BL1" s="178"/>
      <c r="BM1" s="178"/>
      <c r="BN1" s="178"/>
      <c r="BO1" s="178"/>
      <c r="BP1" s="178"/>
      <c r="BQ1" s="178"/>
      <c r="BR1" s="178"/>
      <c r="BS1" s="178"/>
      <c r="BT1" s="178"/>
      <c r="BU1" s="178"/>
      <c r="BV1" s="178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178" t="s">
        <v>99</v>
      </c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  <c r="AH2" s="178"/>
      <c r="AI2" s="178"/>
      <c r="AJ2" s="178"/>
      <c r="AK2" s="178"/>
      <c r="AL2" s="178"/>
      <c r="AM2" s="178"/>
      <c r="AN2" s="178"/>
      <c r="AO2" s="178"/>
      <c r="AP2" s="178"/>
      <c r="AQ2" s="178"/>
      <c r="AR2" s="178"/>
      <c r="AS2" s="178"/>
      <c r="AT2" s="178"/>
      <c r="AU2" s="178"/>
      <c r="AV2" s="178"/>
      <c r="AW2" s="178"/>
      <c r="AX2" s="178"/>
      <c r="AY2" s="178"/>
      <c r="AZ2" s="178"/>
      <c r="BA2" s="178"/>
      <c r="BB2" s="178"/>
      <c r="BC2" s="178"/>
      <c r="BD2" s="178"/>
      <c r="BE2" s="178"/>
      <c r="BF2" s="178"/>
      <c r="BG2" s="178"/>
      <c r="BH2" s="178"/>
      <c r="BI2" s="178"/>
      <c r="BJ2" s="178"/>
      <c r="BK2" s="178"/>
      <c r="BL2" s="178"/>
      <c r="BM2" s="178"/>
      <c r="BN2" s="178"/>
      <c r="BO2" s="178"/>
      <c r="BP2" s="178"/>
      <c r="BQ2" s="178"/>
      <c r="BR2" s="178"/>
      <c r="BS2" s="178"/>
      <c r="BT2" s="178"/>
      <c r="BU2" s="178"/>
      <c r="BV2" s="178"/>
      <c r="BW2" s="43"/>
      <c r="BX2" s="43"/>
    </row>
    <row r="3" spans="1:89" ht="18.75" customHeight="1" x14ac:dyDescent="0.3">
      <c r="A3" s="179" t="s">
        <v>101</v>
      </c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  <c r="X3" s="179"/>
      <c r="Y3" s="179"/>
      <c r="Z3" s="179"/>
      <c r="AA3" s="179"/>
      <c r="AB3" s="179"/>
      <c r="AC3" s="179"/>
      <c r="AD3" s="179"/>
      <c r="AE3" s="179"/>
      <c r="AF3" s="179"/>
      <c r="AG3" s="179"/>
      <c r="AH3" s="179"/>
      <c r="AI3" s="179"/>
      <c r="AJ3" s="179"/>
      <c r="AK3" s="179"/>
      <c r="AL3" s="179"/>
      <c r="AM3" s="179"/>
      <c r="AN3" s="179"/>
      <c r="AO3" s="179"/>
      <c r="AP3" s="179"/>
      <c r="AQ3" s="179"/>
      <c r="AR3" s="179"/>
      <c r="AS3" s="179"/>
      <c r="AT3" s="179"/>
      <c r="AU3" s="179"/>
      <c r="AV3" s="179"/>
      <c r="AW3" s="179"/>
      <c r="AX3" s="179"/>
      <c r="AY3" s="179"/>
      <c r="AZ3" s="179"/>
      <c r="BA3" s="179"/>
      <c r="BB3" s="179"/>
      <c r="BC3" s="179"/>
      <c r="BD3" s="179"/>
      <c r="BE3" s="179"/>
      <c r="BF3" s="179"/>
      <c r="BG3" s="179"/>
      <c r="BH3" s="179"/>
      <c r="BI3" s="179"/>
      <c r="BJ3" s="179"/>
      <c r="BK3" s="179"/>
      <c r="BL3" s="179"/>
      <c r="BM3" s="179"/>
      <c r="BN3" s="179"/>
      <c r="BO3" s="179"/>
      <c r="BP3" s="179"/>
      <c r="BQ3" s="179"/>
      <c r="BR3" s="179"/>
      <c r="BS3" s="179"/>
      <c r="BT3" s="179"/>
      <c r="BU3" s="179"/>
      <c r="BV3" s="179"/>
      <c r="BW3" s="43"/>
      <c r="BX3" s="43"/>
    </row>
    <row r="4" spans="1:89" ht="28.5" customHeight="1" x14ac:dyDescent="0.3">
      <c r="A4" s="181" t="s">
        <v>100</v>
      </c>
      <c r="B4" s="181"/>
      <c r="C4" s="181"/>
      <c r="D4" s="181"/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1"/>
      <c r="S4" s="181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81"/>
      <c r="AK4" s="181"/>
      <c r="AL4" s="181"/>
      <c r="AM4" s="181"/>
      <c r="AN4" s="181"/>
      <c r="AO4" s="181"/>
      <c r="AP4" s="181"/>
      <c r="AQ4" s="181"/>
      <c r="AR4" s="181"/>
      <c r="AS4" s="181"/>
      <c r="AT4" s="181"/>
      <c r="AU4" s="181"/>
      <c r="AV4" s="181"/>
      <c r="AW4" s="181"/>
      <c r="AX4" s="181"/>
      <c r="AY4" s="181"/>
      <c r="AZ4" s="181"/>
      <c r="BA4" s="181"/>
      <c r="BB4" s="181"/>
      <c r="BC4" s="181"/>
      <c r="BD4" s="181"/>
      <c r="BE4" s="181"/>
      <c r="BF4" s="181"/>
      <c r="BG4" s="181"/>
      <c r="BH4" s="181"/>
      <c r="BI4" s="181"/>
      <c r="BJ4" s="181"/>
      <c r="BK4" s="181"/>
      <c r="BL4" s="181"/>
      <c r="BM4" s="181"/>
      <c r="BN4" s="181"/>
      <c r="BO4" s="181"/>
      <c r="BP4" s="181"/>
      <c r="BQ4" s="181"/>
      <c r="BR4" s="181"/>
      <c r="BS4" s="181"/>
      <c r="BT4" s="181"/>
      <c r="BU4" s="181"/>
      <c r="BV4" s="181"/>
      <c r="BW4" s="43"/>
      <c r="BX4" s="43"/>
    </row>
    <row r="5" spans="1:89" ht="27" customHeight="1" x14ac:dyDescent="0.35">
      <c r="A5" s="177" t="str">
        <f>CONCATENATE("ПРОТОКОЛ №","ЕИ-04/",Данные!B8,"-",Данные!B2)</f>
        <v>ПРОТОКОЛ №ЕИ-04/02-01259</v>
      </c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  <c r="AZ5" s="177"/>
      <c r="BA5" s="177"/>
      <c r="BB5" s="177"/>
      <c r="BC5" s="177"/>
      <c r="BD5" s="177"/>
      <c r="BE5" s="177"/>
      <c r="BF5" s="177"/>
      <c r="BG5" s="177"/>
      <c r="BH5" s="177"/>
      <c r="BI5" s="177"/>
      <c r="BJ5" s="177"/>
      <c r="BK5" s="177"/>
      <c r="BL5" s="177"/>
      <c r="BM5" s="177"/>
      <c r="BN5" s="177"/>
      <c r="BO5" s="177"/>
      <c r="BP5" s="177"/>
      <c r="BQ5" s="177"/>
      <c r="BR5" s="177"/>
      <c r="BS5" s="177"/>
      <c r="BT5" s="177"/>
      <c r="BU5" s="177"/>
      <c r="BV5" s="177"/>
      <c r="BW5" s="43"/>
      <c r="BX5" s="43"/>
    </row>
    <row r="6" spans="1:89" ht="15.75" customHeight="1" x14ac:dyDescent="0.3">
      <c r="A6" s="194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СВК 15-3-2, год изготовления 2012, заводской № 1012006467502</v>
      </c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  <c r="O6" s="195"/>
      <c r="P6" s="195"/>
      <c r="Q6" s="195"/>
      <c r="R6" s="195"/>
      <c r="S6" s="195"/>
      <c r="T6" s="195"/>
      <c r="U6" s="195"/>
      <c r="V6" s="195"/>
      <c r="W6" s="195"/>
      <c r="X6" s="195"/>
      <c r="Y6" s="195"/>
      <c r="Z6" s="195"/>
      <c r="AA6" s="195"/>
      <c r="AB6" s="195"/>
      <c r="AC6" s="195"/>
      <c r="AD6" s="195"/>
      <c r="AE6" s="195"/>
      <c r="AF6" s="195"/>
      <c r="AG6" s="195"/>
      <c r="AH6" s="195"/>
      <c r="AI6" s="195"/>
      <c r="AJ6" s="195"/>
      <c r="AK6" s="195"/>
      <c r="AL6" s="195"/>
      <c r="AM6" s="195"/>
      <c r="AN6" s="195"/>
      <c r="AO6" s="195"/>
      <c r="AP6" s="195"/>
      <c r="AQ6" s="195"/>
      <c r="AR6" s="195"/>
      <c r="AS6" s="195"/>
      <c r="AT6" s="195"/>
      <c r="AU6" s="195"/>
      <c r="AV6" s="195"/>
      <c r="AW6" s="195"/>
      <c r="AX6" s="195"/>
      <c r="AY6" s="195"/>
      <c r="AZ6" s="195"/>
      <c r="BA6" s="195"/>
      <c r="BB6" s="195"/>
      <c r="BC6" s="195"/>
      <c r="BD6" s="195"/>
      <c r="BE6" s="195"/>
      <c r="BF6" s="195"/>
      <c r="BG6" s="195"/>
      <c r="BH6" s="195"/>
      <c r="BI6" s="195"/>
      <c r="BJ6" s="195"/>
      <c r="BK6" s="195"/>
      <c r="BL6" s="195"/>
      <c r="BM6" s="195"/>
      <c r="BN6" s="195"/>
      <c r="BO6" s="195"/>
      <c r="BP6" s="195"/>
      <c r="BQ6" s="195"/>
      <c r="BR6" s="195"/>
      <c r="BS6" s="195"/>
      <c r="BT6" s="195"/>
      <c r="BU6" s="195"/>
      <c r="BV6" s="195"/>
      <c r="BW6" s="195"/>
      <c r="BX6" s="43"/>
    </row>
    <row r="7" spans="1:89" s="60" customFormat="1" ht="15.75" customHeight="1" x14ac:dyDescent="0.3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195"/>
      <c r="T7" s="195"/>
      <c r="U7" s="195"/>
      <c r="V7" s="195"/>
      <c r="W7" s="195"/>
      <c r="X7" s="195"/>
      <c r="Y7" s="195"/>
      <c r="Z7" s="195"/>
      <c r="AA7" s="195"/>
      <c r="AB7" s="195"/>
      <c r="AC7" s="195"/>
      <c r="AD7" s="195"/>
      <c r="AE7" s="195"/>
      <c r="AF7" s="195"/>
      <c r="AG7" s="195"/>
      <c r="AH7" s="195"/>
      <c r="AI7" s="195"/>
      <c r="AJ7" s="195"/>
      <c r="AK7" s="195"/>
      <c r="AL7" s="195"/>
      <c r="AM7" s="195"/>
      <c r="AN7" s="195"/>
      <c r="AO7" s="195"/>
      <c r="AP7" s="195"/>
      <c r="AQ7" s="195"/>
      <c r="AR7" s="195"/>
      <c r="AS7" s="195"/>
      <c r="AT7" s="195"/>
      <c r="AU7" s="195"/>
      <c r="AV7" s="195"/>
      <c r="AW7" s="195"/>
      <c r="AX7" s="195"/>
      <c r="AY7" s="195"/>
      <c r="AZ7" s="195"/>
      <c r="BA7" s="195"/>
      <c r="BB7" s="195"/>
      <c r="BC7" s="195"/>
      <c r="BD7" s="195"/>
      <c r="BE7" s="195"/>
      <c r="BF7" s="195"/>
      <c r="BG7" s="195"/>
      <c r="BH7" s="195"/>
      <c r="BI7" s="195"/>
      <c r="BJ7" s="195"/>
      <c r="BK7" s="195"/>
      <c r="BL7" s="195"/>
      <c r="BM7" s="195"/>
      <c r="BN7" s="195"/>
      <c r="BO7" s="195"/>
      <c r="BP7" s="195"/>
      <c r="BQ7" s="195"/>
      <c r="BR7" s="195"/>
      <c r="BS7" s="195"/>
      <c r="BT7" s="195"/>
      <c r="BU7" s="195"/>
      <c r="BV7" s="195"/>
      <c r="BW7" s="195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13869-13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 Киров, пр-т Строителей, 26-67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144" t="s">
        <v>28</v>
      </c>
      <c r="B12" s="144"/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93" t="s">
        <v>82</v>
      </c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5"/>
      <c r="AF26" s="103" t="s">
        <v>78</v>
      </c>
      <c r="AG26" s="104"/>
      <c r="AH26" s="104"/>
      <c r="AI26" s="104"/>
      <c r="AJ26" s="104"/>
      <c r="AK26" s="104"/>
      <c r="AL26" s="104"/>
      <c r="AM26" s="104"/>
      <c r="AN26" s="104"/>
      <c r="AO26" s="105"/>
      <c r="AP26" s="103" t="s">
        <v>79</v>
      </c>
      <c r="AQ26" s="104"/>
      <c r="AR26" s="104"/>
      <c r="AS26" s="104"/>
      <c r="AT26" s="104"/>
      <c r="AU26" s="104"/>
      <c r="AV26" s="105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06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8"/>
      <c r="AF27" s="106"/>
      <c r="AG27" s="107"/>
      <c r="AH27" s="107"/>
      <c r="AI27" s="107"/>
      <c r="AJ27" s="107"/>
      <c r="AK27" s="107"/>
      <c r="AL27" s="107"/>
      <c r="AM27" s="107"/>
      <c r="AN27" s="107"/>
      <c r="AO27" s="108"/>
      <c r="AP27" s="106"/>
      <c r="AQ27" s="107"/>
      <c r="AR27" s="107"/>
      <c r="AS27" s="107"/>
      <c r="AT27" s="107"/>
      <c r="AU27" s="107"/>
      <c r="AV27" s="108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90" t="s">
        <v>75</v>
      </c>
      <c r="B28" s="191"/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2"/>
      <c r="AF28" s="102">
        <f>Данные!B10</f>
        <v>24.2</v>
      </c>
      <c r="AG28" s="97"/>
      <c r="AH28" s="97"/>
      <c r="AI28" s="97"/>
      <c r="AJ28" s="97"/>
      <c r="AK28" s="97"/>
      <c r="AL28" s="97"/>
      <c r="AM28" s="97"/>
      <c r="AN28" s="97"/>
      <c r="AO28" s="98"/>
      <c r="AP28" s="102">
        <f ca="1">AF28+(RANDBETWEEN(-26,53)/10)</f>
        <v>22.5</v>
      </c>
      <c r="AQ28" s="97"/>
      <c r="AR28" s="97"/>
      <c r="AS28" s="97"/>
      <c r="AT28" s="97"/>
      <c r="AU28" s="97"/>
      <c r="AV28" s="98"/>
      <c r="AW28" s="63"/>
      <c r="AX28" s="109" t="s">
        <v>95</v>
      </c>
      <c r="AY28" s="109"/>
      <c r="AZ28" s="109"/>
      <c r="BA28" s="109"/>
      <c r="BB28" s="109"/>
      <c r="BC28" s="109"/>
      <c r="BD28" s="109"/>
      <c r="BE28" s="10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89" t="s">
        <v>76</v>
      </c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8"/>
      <c r="AF29" s="96">
        <f>Данные!B11</f>
        <v>59.8</v>
      </c>
      <c r="AG29" s="97"/>
      <c r="AH29" s="97"/>
      <c r="AI29" s="97"/>
      <c r="AJ29" s="97"/>
      <c r="AK29" s="97"/>
      <c r="AL29" s="97"/>
      <c r="AM29" s="97"/>
      <c r="AN29" s="97"/>
      <c r="AO29" s="98"/>
      <c r="AP29" s="96">
        <f ca="1">AF29+(RANDBETWEEN(43,97)/10)</f>
        <v>66.399999999999991</v>
      </c>
      <c r="AQ29" s="97"/>
      <c r="AR29" s="97"/>
      <c r="AS29" s="97"/>
      <c r="AT29" s="97"/>
      <c r="AU29" s="97"/>
      <c r="AV29" s="98"/>
      <c r="AW29" s="63"/>
      <c r="AX29" s="109" t="s">
        <v>96</v>
      </c>
      <c r="AY29" s="109"/>
      <c r="AZ29" s="109"/>
      <c r="BA29" s="109"/>
      <c r="BB29" s="109"/>
      <c r="BC29" s="109"/>
      <c r="BD29" s="109"/>
      <c r="BE29" s="10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89" t="s">
        <v>77</v>
      </c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8"/>
      <c r="AF30" s="96">
        <f>Данные!B12</f>
        <v>105.6</v>
      </c>
      <c r="AG30" s="97"/>
      <c r="AH30" s="97"/>
      <c r="AI30" s="97"/>
      <c r="AJ30" s="97"/>
      <c r="AK30" s="97"/>
      <c r="AL30" s="97"/>
      <c r="AM30" s="97"/>
      <c r="AN30" s="97"/>
      <c r="AO30" s="98"/>
      <c r="AP30" s="99">
        <f>AF30</f>
        <v>105.6</v>
      </c>
      <c r="AQ30" s="100"/>
      <c r="AR30" s="100"/>
      <c r="AS30" s="100"/>
      <c r="AT30" s="100"/>
      <c r="AU30" s="100"/>
      <c r="AV30" s="101"/>
      <c r="AW30" s="63"/>
      <c r="AX30" s="109" t="s">
        <v>97</v>
      </c>
      <c r="AY30" s="109"/>
      <c r="AZ30" s="109"/>
      <c r="BA30" s="109"/>
      <c r="BB30" s="109"/>
      <c r="BC30" s="109"/>
      <c r="BD30" s="109"/>
      <c r="BE30" s="109"/>
      <c r="BF30" s="10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89" t="s">
        <v>83</v>
      </c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8"/>
      <c r="AF31" s="96">
        <f>Данные!B13</f>
        <v>5</v>
      </c>
      <c r="AG31" s="97"/>
      <c r="AH31" s="97"/>
      <c r="AI31" s="97"/>
      <c r="AJ31" s="97"/>
      <c r="AK31" s="97"/>
      <c r="AL31" s="97"/>
      <c r="AM31" s="97"/>
      <c r="AN31" s="97"/>
      <c r="AO31" s="98"/>
      <c r="AP31" s="96">
        <f>Данные!B14</f>
        <v>5</v>
      </c>
      <c r="AQ31" s="97"/>
      <c r="AR31" s="97"/>
      <c r="AS31" s="97"/>
      <c r="AT31" s="97"/>
      <c r="AU31" s="97"/>
      <c r="AV31" s="98"/>
      <c r="AW31" s="63"/>
      <c r="AX31" s="110" t="s">
        <v>81</v>
      </c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44" t="s">
        <v>31</v>
      </c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  <c r="AY33" s="144"/>
      <c r="AZ33" s="144"/>
      <c r="BA33" s="144"/>
      <c r="BB33" s="144"/>
      <c r="BC33" s="144"/>
      <c r="BD33" s="144"/>
      <c r="BE33" s="144"/>
      <c r="BF33" s="144"/>
      <c r="BG33" s="144"/>
      <c r="BH33" s="144"/>
      <c r="BI33" s="144"/>
      <c r="BJ33" s="144"/>
      <c r="BK33" s="144"/>
      <c r="BL33" s="144"/>
      <c r="BM33" s="144"/>
      <c r="BN33" s="14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44" t="s">
        <v>32</v>
      </c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4"/>
      <c r="BC37" s="144"/>
      <c r="BD37" s="144"/>
      <c r="BE37" s="144"/>
      <c r="BF37" s="144"/>
      <c r="BG37" s="144"/>
      <c r="BH37" s="144"/>
      <c r="BI37" s="144"/>
      <c r="BJ37" s="144"/>
      <c r="BK37" s="144"/>
      <c r="BL37" s="144"/>
      <c r="BM37" s="144"/>
      <c r="BN37" s="144"/>
      <c r="BO37" s="144"/>
      <c r="BP37" s="144"/>
      <c r="BQ37" s="144"/>
      <c r="BR37" s="144"/>
      <c r="BS37" s="144"/>
      <c r="BT37" s="144"/>
      <c r="BU37" s="144"/>
      <c r="BV37" s="5"/>
      <c r="BW37" s="43"/>
      <c r="BX37" s="43"/>
    </row>
    <row r="38" spans="1:76" ht="4.5" customHeight="1" x14ac:dyDescent="0.3">
      <c r="A38" s="182" t="str">
        <f>INDEX(Данные!$K$53:$W$117,Данные!K51,2)</f>
        <v>«ГСИ. Счетчики холодной и горячей воды крыльчатые типа СВК. Методика поверки» ЛГФИ.407223.003</v>
      </c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  <c r="BK38" s="183"/>
      <c r="BL38" s="183"/>
      <c r="BM38" s="183"/>
      <c r="BN38" s="183"/>
      <c r="BO38" s="183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  <c r="BK39" s="183"/>
      <c r="BL39" s="183"/>
      <c r="BM39" s="183"/>
      <c r="BN39" s="183"/>
      <c r="BO39" s="183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44" t="s">
        <v>33</v>
      </c>
      <c r="B41" s="144"/>
      <c r="C41" s="144"/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144"/>
      <c r="AJ41" s="144"/>
      <c r="AK41" s="144"/>
      <c r="AL41" s="144"/>
      <c r="AM41" s="144"/>
      <c r="AN41" s="144"/>
      <c r="AO41" s="144"/>
      <c r="AP41" s="144"/>
      <c r="AQ41" s="144"/>
      <c r="AR41" s="144"/>
      <c r="AS41" s="144"/>
      <c r="AT41" s="144"/>
      <c r="AU41" s="144"/>
      <c r="AV41" s="144"/>
      <c r="AW41" s="144"/>
      <c r="AX41" s="144"/>
      <c r="AY41" s="144"/>
      <c r="AZ41" s="144"/>
      <c r="BA41" s="144"/>
      <c r="BB41" s="144"/>
      <c r="BC41" s="144"/>
      <c r="BD41" s="144"/>
      <c r="BE41" s="144"/>
      <c r="BF41" s="144"/>
      <c r="BG41" s="144"/>
      <c r="BH41" s="144"/>
      <c r="BI41" s="144"/>
      <c r="BJ41" s="144"/>
      <c r="BK41" s="144"/>
      <c r="BL41" s="144"/>
      <c r="BM41" s="144"/>
      <c r="BN41" s="144"/>
      <c r="BO41" s="144"/>
      <c r="BP41" s="144"/>
      <c r="BQ41" s="144"/>
      <c r="BR41" s="144"/>
      <c r="BS41" s="144"/>
      <c r="BT41" s="144"/>
      <c r="BU41" s="144"/>
      <c r="BV41" s="14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87" t="s">
        <v>7</v>
      </c>
      <c r="C48" s="188"/>
      <c r="D48" s="188"/>
      <c r="E48" s="188"/>
      <c r="F48" s="188"/>
      <c r="G48" s="188"/>
      <c r="H48" s="188"/>
      <c r="I48" s="188"/>
      <c r="J48" s="188"/>
      <c r="K48" s="188"/>
      <c r="L48" s="188"/>
      <c r="M48" s="188"/>
      <c r="N48" s="188"/>
      <c r="O48" s="188"/>
      <c r="P48" s="188"/>
      <c r="Q48" s="188"/>
      <c r="R48" s="188"/>
      <c r="S48" s="188"/>
      <c r="T48" s="188"/>
      <c r="U48" s="188"/>
      <c r="V48" s="196" t="s">
        <v>3</v>
      </c>
      <c r="W48" s="197"/>
      <c r="X48" s="197"/>
      <c r="Y48" s="197"/>
      <c r="Z48" s="197"/>
      <c r="AA48" s="197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7"/>
      <c r="AP48" s="197"/>
      <c r="AQ48" s="197"/>
      <c r="AR48" s="197"/>
      <c r="AS48" s="197"/>
      <c r="AT48" s="197"/>
      <c r="AU48" s="197"/>
      <c r="AV48" s="197"/>
      <c r="AW48" s="197"/>
      <c r="AX48" s="197"/>
      <c r="AY48" s="197"/>
      <c r="AZ48" s="197"/>
      <c r="BA48" s="197"/>
      <c r="BB48" s="197"/>
      <c r="BC48" s="197"/>
      <c r="BD48" s="197"/>
      <c r="BE48" s="197"/>
      <c r="BF48" s="197"/>
      <c r="BG48" s="197"/>
      <c r="BH48" s="197"/>
      <c r="BI48" s="197"/>
      <c r="BJ48" s="197"/>
      <c r="BK48" s="197"/>
      <c r="BL48" s="197"/>
      <c r="BM48" s="197"/>
      <c r="BN48" s="197"/>
      <c r="BO48" s="197"/>
      <c r="BP48" s="197"/>
      <c r="BQ48" s="197"/>
      <c r="BR48" s="197"/>
      <c r="BS48" s="197"/>
      <c r="BT48" s="197"/>
      <c r="BU48" s="198"/>
      <c r="BV48" s="43"/>
      <c r="BW48" s="43"/>
      <c r="BX48" s="43"/>
    </row>
    <row r="49" spans="1:76" ht="13.5" customHeight="1" x14ac:dyDescent="0.3">
      <c r="A49" s="43"/>
      <c r="B49" s="188"/>
      <c r="C49" s="188"/>
      <c r="D49" s="188"/>
      <c r="E49" s="188"/>
      <c r="F49" s="188"/>
      <c r="G49" s="188"/>
      <c r="H49" s="188"/>
      <c r="I49" s="188"/>
      <c r="J49" s="188"/>
      <c r="K49" s="188"/>
      <c r="L49" s="188"/>
      <c r="M49" s="188"/>
      <c r="N49" s="188"/>
      <c r="O49" s="188"/>
      <c r="P49" s="188"/>
      <c r="Q49" s="188"/>
      <c r="R49" s="188"/>
      <c r="S49" s="188"/>
      <c r="T49" s="188"/>
      <c r="U49" s="188"/>
      <c r="V49" s="199"/>
      <c r="W49" s="200"/>
      <c r="X49" s="200"/>
      <c r="Y49" s="200"/>
      <c r="Z49" s="200"/>
      <c r="AA49" s="200"/>
      <c r="AB49" s="200"/>
      <c r="AC49" s="200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00"/>
      <c r="AP49" s="200"/>
      <c r="AQ49" s="200"/>
      <c r="AR49" s="200"/>
      <c r="AS49" s="200"/>
      <c r="AT49" s="200"/>
      <c r="AU49" s="200"/>
      <c r="AV49" s="200"/>
      <c r="AW49" s="200"/>
      <c r="AX49" s="200"/>
      <c r="AY49" s="200"/>
      <c r="AZ49" s="200"/>
      <c r="BA49" s="200"/>
      <c r="BB49" s="200"/>
      <c r="BC49" s="200"/>
      <c r="BD49" s="200"/>
      <c r="BE49" s="200"/>
      <c r="BF49" s="200"/>
      <c r="BG49" s="200"/>
      <c r="BH49" s="200"/>
      <c r="BI49" s="200"/>
      <c r="BJ49" s="200"/>
      <c r="BK49" s="200"/>
      <c r="BL49" s="200"/>
      <c r="BM49" s="200"/>
      <c r="BN49" s="200"/>
      <c r="BO49" s="200"/>
      <c r="BP49" s="200"/>
      <c r="BQ49" s="200"/>
      <c r="BR49" s="200"/>
      <c r="BS49" s="200"/>
      <c r="BT49" s="200"/>
      <c r="BU49" s="201"/>
      <c r="BV49" s="43"/>
      <c r="BW49" s="43"/>
      <c r="BX49" s="43"/>
    </row>
    <row r="50" spans="1:76" ht="13.5" customHeight="1" x14ac:dyDescent="0.3">
      <c r="A50" s="43"/>
      <c r="B50" s="188"/>
      <c r="C50" s="188"/>
      <c r="D50" s="188"/>
      <c r="E50" s="188"/>
      <c r="F50" s="188"/>
      <c r="G50" s="188"/>
      <c r="H50" s="188"/>
      <c r="I50" s="188"/>
      <c r="J50" s="188"/>
      <c r="K50" s="188"/>
      <c r="L50" s="188"/>
      <c r="M50" s="188"/>
      <c r="N50" s="188"/>
      <c r="O50" s="188"/>
      <c r="P50" s="188"/>
      <c r="Q50" s="188"/>
      <c r="R50" s="188"/>
      <c r="S50" s="188"/>
      <c r="T50" s="188"/>
      <c r="U50" s="188"/>
      <c r="V50" s="111" t="s">
        <v>4</v>
      </c>
      <c r="W50" s="112"/>
      <c r="X50" s="112"/>
      <c r="Y50" s="112"/>
      <c r="Z50" s="112"/>
      <c r="AA50" s="112"/>
      <c r="AB50" s="113"/>
      <c r="AC50" s="180" t="s">
        <v>88</v>
      </c>
      <c r="AD50" s="180"/>
      <c r="AE50" s="180"/>
      <c r="AF50" s="180"/>
      <c r="AG50" s="180"/>
      <c r="AH50" s="180"/>
      <c r="AI50" s="180"/>
      <c r="AJ50" s="171" t="s">
        <v>72</v>
      </c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3"/>
      <c r="AW50" s="180" t="s">
        <v>90</v>
      </c>
      <c r="AX50" s="180"/>
      <c r="AY50" s="180"/>
      <c r="AZ50" s="180"/>
      <c r="BA50" s="180"/>
      <c r="BB50" s="180"/>
      <c r="BC50" s="180"/>
      <c r="BD50" s="180" t="s">
        <v>89</v>
      </c>
      <c r="BE50" s="180"/>
      <c r="BF50" s="180"/>
      <c r="BG50" s="180"/>
      <c r="BH50" s="180"/>
      <c r="BI50" s="180"/>
      <c r="BJ50" s="180"/>
      <c r="BK50" s="180" t="s">
        <v>5</v>
      </c>
      <c r="BL50" s="180"/>
      <c r="BM50" s="180"/>
      <c r="BN50" s="180"/>
      <c r="BO50" s="180"/>
      <c r="BP50" s="180"/>
      <c r="BQ50" s="184" t="s">
        <v>6</v>
      </c>
      <c r="BR50" s="87"/>
      <c r="BS50" s="87"/>
      <c r="BT50" s="87"/>
      <c r="BU50" s="93"/>
      <c r="BV50" s="43"/>
      <c r="BW50" s="43"/>
      <c r="BX50" s="43"/>
    </row>
    <row r="51" spans="1:76" s="60" customFormat="1" ht="10.5" customHeight="1" x14ac:dyDescent="0.3">
      <c r="A51" s="43"/>
      <c r="B51" s="188"/>
      <c r="C51" s="188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39"/>
      <c r="W51" s="140"/>
      <c r="X51" s="140"/>
      <c r="Y51" s="140"/>
      <c r="Z51" s="140"/>
      <c r="AA51" s="140"/>
      <c r="AB51" s="141"/>
      <c r="AC51" s="180"/>
      <c r="AD51" s="180"/>
      <c r="AE51" s="180"/>
      <c r="AF51" s="180"/>
      <c r="AG51" s="180"/>
      <c r="AH51" s="180"/>
      <c r="AI51" s="180"/>
      <c r="AJ51" s="111" t="s">
        <v>85</v>
      </c>
      <c r="AK51" s="112"/>
      <c r="AL51" s="112"/>
      <c r="AM51" s="112"/>
      <c r="AN51" s="112"/>
      <c r="AO51" s="112"/>
      <c r="AP51" s="113"/>
      <c r="AQ51" s="111" t="s">
        <v>86</v>
      </c>
      <c r="AR51" s="112"/>
      <c r="AS51" s="112"/>
      <c r="AT51" s="112"/>
      <c r="AU51" s="112"/>
      <c r="AV51" s="113"/>
      <c r="AW51" s="180"/>
      <c r="AX51" s="180"/>
      <c r="AY51" s="180"/>
      <c r="AZ51" s="180"/>
      <c r="BA51" s="180"/>
      <c r="BB51" s="180"/>
      <c r="BC51" s="180"/>
      <c r="BD51" s="180"/>
      <c r="BE51" s="180"/>
      <c r="BF51" s="180"/>
      <c r="BG51" s="180"/>
      <c r="BH51" s="180"/>
      <c r="BI51" s="180"/>
      <c r="BJ51" s="180"/>
      <c r="BK51" s="180"/>
      <c r="BL51" s="180"/>
      <c r="BM51" s="180"/>
      <c r="BN51" s="180"/>
      <c r="BO51" s="180"/>
      <c r="BP51" s="180"/>
      <c r="BQ51" s="185"/>
      <c r="BR51" s="186"/>
      <c r="BS51" s="186"/>
      <c r="BT51" s="186"/>
      <c r="BU51" s="94"/>
      <c r="BV51" s="43"/>
      <c r="BW51" s="43"/>
      <c r="BX51" s="43"/>
    </row>
    <row r="52" spans="1:76" s="65" customFormat="1" ht="12.75" customHeight="1" x14ac:dyDescent="0.3">
      <c r="A52" s="82"/>
      <c r="B52" s="188"/>
      <c r="C52" s="188"/>
      <c r="D52" s="188"/>
      <c r="E52" s="188"/>
      <c r="F52" s="188"/>
      <c r="G52" s="188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14"/>
      <c r="W52" s="115"/>
      <c r="X52" s="115"/>
      <c r="Y52" s="115"/>
      <c r="Z52" s="115"/>
      <c r="AA52" s="115"/>
      <c r="AB52" s="116"/>
      <c r="AC52" s="180"/>
      <c r="AD52" s="180"/>
      <c r="AE52" s="180"/>
      <c r="AF52" s="180"/>
      <c r="AG52" s="180"/>
      <c r="AH52" s="180"/>
      <c r="AI52" s="180"/>
      <c r="AJ52" s="114"/>
      <c r="AK52" s="115"/>
      <c r="AL52" s="115"/>
      <c r="AM52" s="115"/>
      <c r="AN52" s="115"/>
      <c r="AO52" s="115"/>
      <c r="AP52" s="116"/>
      <c r="AQ52" s="114"/>
      <c r="AR52" s="115"/>
      <c r="AS52" s="115"/>
      <c r="AT52" s="115"/>
      <c r="AU52" s="115"/>
      <c r="AV52" s="116"/>
      <c r="AW52" s="180"/>
      <c r="AX52" s="180"/>
      <c r="AY52" s="180"/>
      <c r="AZ52" s="180"/>
      <c r="BA52" s="180"/>
      <c r="BB52" s="180"/>
      <c r="BC52" s="180"/>
      <c r="BD52" s="180"/>
      <c r="BE52" s="180"/>
      <c r="BF52" s="180"/>
      <c r="BG52" s="180"/>
      <c r="BH52" s="180"/>
      <c r="BI52" s="180"/>
      <c r="BJ52" s="180"/>
      <c r="BK52" s="180"/>
      <c r="BL52" s="180"/>
      <c r="BM52" s="180"/>
      <c r="BN52" s="180"/>
      <c r="BO52" s="180"/>
      <c r="BP52" s="180"/>
      <c r="BQ52" s="90"/>
      <c r="BR52" s="91"/>
      <c r="BS52" s="91"/>
      <c r="BT52" s="91"/>
      <c r="BU52" s="95"/>
      <c r="BV52" s="82"/>
      <c r="BW52" s="82"/>
      <c r="BX52" s="82"/>
    </row>
    <row r="53" spans="1:76" ht="21.75" customHeight="1" x14ac:dyDescent="0.3">
      <c r="A53" s="43"/>
      <c r="B53" s="145" t="s">
        <v>73</v>
      </c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7"/>
      <c r="V53" s="162" t="s">
        <v>91</v>
      </c>
      <c r="W53" s="163"/>
      <c r="X53" s="163"/>
      <c r="Y53" s="163"/>
      <c r="Z53" s="163"/>
      <c r="AA53" s="163"/>
      <c r="AB53" s="164"/>
      <c r="AC53" s="123">
        <f ca="1">IF($V$53="В",ROUND(RANDBETWEEN(30,33)/1000,3),IF($V$53="А",ROUND(RANDBETWEEN(60,66)/1000,3),"буква"))</f>
        <v>3.3000000000000002E-2</v>
      </c>
      <c r="AD53" s="124"/>
      <c r="AE53" s="124"/>
      <c r="AF53" s="124"/>
      <c r="AG53" s="124"/>
      <c r="AH53" s="124"/>
      <c r="AI53" s="125"/>
      <c r="AJ53" s="122" t="str">
        <f>Данные!B5</f>
        <v>145,507</v>
      </c>
      <c r="AK53" s="120"/>
      <c r="AL53" s="120"/>
      <c r="AM53" s="120"/>
      <c r="AN53" s="120"/>
      <c r="AO53" s="120"/>
      <c r="AP53" s="121"/>
      <c r="AQ53" s="123">
        <f t="shared" ref="AQ53:AQ61" ca="1" si="0">AJ53+AW53</f>
        <v>145.51400000000001</v>
      </c>
      <c r="AR53" s="124"/>
      <c r="AS53" s="124"/>
      <c r="AT53" s="124"/>
      <c r="AU53" s="124"/>
      <c r="AV53" s="125"/>
      <c r="AW53" s="123">
        <f ca="1">ROUNDUP(AC53*720/3600,3)</f>
        <v>7.0000000000000001E-3</v>
      </c>
      <c r="AX53" s="124"/>
      <c r="AY53" s="124"/>
      <c r="AZ53" s="124"/>
      <c r="BA53" s="124"/>
      <c r="BB53" s="124"/>
      <c r="BC53" s="125"/>
      <c r="BD53" s="135">
        <f ca="1">AW53+RANDBETWEEN(-2,3)/10000</f>
        <v>6.8999999999999999E-3</v>
      </c>
      <c r="BE53" s="136"/>
      <c r="BF53" s="136"/>
      <c r="BG53" s="136"/>
      <c r="BH53" s="136"/>
      <c r="BI53" s="136"/>
      <c r="BJ53" s="137"/>
      <c r="BK53" s="132">
        <f t="shared" ref="BK53:BK55" ca="1" si="1">ROUND(((AW53-BD53)/BD53)*100,1)</f>
        <v>1.4</v>
      </c>
      <c r="BL53" s="133"/>
      <c r="BM53" s="133"/>
      <c r="BN53" s="133"/>
      <c r="BO53" s="133"/>
      <c r="BP53" s="134"/>
      <c r="BQ53" s="86" t="s">
        <v>69</v>
      </c>
      <c r="BR53" s="87"/>
      <c r="BS53" s="87"/>
      <c r="BT53" s="92">
        <v>5</v>
      </c>
      <c r="BU53" s="93"/>
      <c r="BV53" s="43"/>
      <c r="BW53" s="43"/>
      <c r="BX53" s="43"/>
    </row>
    <row r="54" spans="1:76" ht="20.25" customHeight="1" x14ac:dyDescent="0.3">
      <c r="A54" s="43"/>
      <c r="B54" s="148"/>
      <c r="C54" s="149"/>
      <c r="D54" s="149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50"/>
      <c r="V54" s="165"/>
      <c r="W54" s="166"/>
      <c r="X54" s="166"/>
      <c r="Y54" s="166"/>
      <c r="Z54" s="166"/>
      <c r="AA54" s="166"/>
      <c r="AB54" s="167"/>
      <c r="AC54" s="123">
        <f ca="1">IF($V$53="В",ROUND(RANDBETWEEN(30,33)/1000,3),IF($V$53="А",ROUND(RANDBETWEEN(60,66)/1000,3),"буква"))</f>
        <v>3.3000000000000002E-2</v>
      </c>
      <c r="AD54" s="124"/>
      <c r="AE54" s="124"/>
      <c r="AF54" s="124"/>
      <c r="AG54" s="124"/>
      <c r="AH54" s="124"/>
      <c r="AI54" s="125"/>
      <c r="AJ54" s="123">
        <f ca="1">AQ53+RANDBETWEEN(1,3)/1000</f>
        <v>145.51600000000002</v>
      </c>
      <c r="AK54" s="124"/>
      <c r="AL54" s="124"/>
      <c r="AM54" s="124"/>
      <c r="AN54" s="124"/>
      <c r="AO54" s="124"/>
      <c r="AP54" s="125"/>
      <c r="AQ54" s="123">
        <f t="shared" ca="1" si="0"/>
        <v>145.52300000000002</v>
      </c>
      <c r="AR54" s="124"/>
      <c r="AS54" s="124"/>
      <c r="AT54" s="124"/>
      <c r="AU54" s="124"/>
      <c r="AV54" s="125"/>
      <c r="AW54" s="123">
        <f ca="1">ROUNDUP(AC54*720/3600,3)</f>
        <v>7.0000000000000001E-3</v>
      </c>
      <c r="AX54" s="124"/>
      <c r="AY54" s="124"/>
      <c r="AZ54" s="124"/>
      <c r="BA54" s="124"/>
      <c r="BB54" s="124"/>
      <c r="BC54" s="125"/>
      <c r="BD54" s="135">
        <f ca="1">AW54+RANDBETWEEN(-2,3)/10000</f>
        <v>7.3000000000000001E-3</v>
      </c>
      <c r="BE54" s="136"/>
      <c r="BF54" s="136"/>
      <c r="BG54" s="136"/>
      <c r="BH54" s="136"/>
      <c r="BI54" s="136"/>
      <c r="BJ54" s="137"/>
      <c r="BK54" s="132">
        <f t="shared" ca="1" si="1"/>
        <v>-4.0999999999999996</v>
      </c>
      <c r="BL54" s="133"/>
      <c r="BM54" s="133"/>
      <c r="BN54" s="133"/>
      <c r="BO54" s="133"/>
      <c r="BP54" s="134"/>
      <c r="BQ54" s="88"/>
      <c r="BR54" s="89"/>
      <c r="BS54" s="89"/>
      <c r="BT54" s="89"/>
      <c r="BU54" s="94"/>
      <c r="BV54" s="43"/>
      <c r="BW54" s="43"/>
      <c r="BX54" s="43"/>
    </row>
    <row r="55" spans="1:76" ht="18" customHeight="1" x14ac:dyDescent="0.3">
      <c r="A55" s="43"/>
      <c r="B55" s="151"/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3"/>
      <c r="V55" s="165"/>
      <c r="W55" s="166"/>
      <c r="X55" s="166"/>
      <c r="Y55" s="166"/>
      <c r="Z55" s="166"/>
      <c r="AA55" s="166"/>
      <c r="AB55" s="167"/>
      <c r="AC55" s="123">
        <f t="shared" ref="AC55" ca="1" si="2">IF($V$53="В",ROUND(RANDBETWEEN(30,33)/1000,3),IF($V$53="А",ROUND(RANDBETWEEN(60,66)/1000,3),"буква"))</f>
        <v>3.1E-2</v>
      </c>
      <c r="AD55" s="124"/>
      <c r="AE55" s="124"/>
      <c r="AF55" s="124"/>
      <c r="AG55" s="124"/>
      <c r="AH55" s="124"/>
      <c r="AI55" s="125"/>
      <c r="AJ55" s="122">
        <f ca="1">AQ54+RANDBETWEEN(1,3)/1000</f>
        <v>145.52400000000003</v>
      </c>
      <c r="AK55" s="120"/>
      <c r="AL55" s="120"/>
      <c r="AM55" s="120"/>
      <c r="AN55" s="120"/>
      <c r="AO55" s="120"/>
      <c r="AP55" s="121"/>
      <c r="AQ55" s="123">
        <f t="shared" ca="1" si="0"/>
        <v>145.53100000000003</v>
      </c>
      <c r="AR55" s="124"/>
      <c r="AS55" s="124"/>
      <c r="AT55" s="124"/>
      <c r="AU55" s="124"/>
      <c r="AV55" s="125"/>
      <c r="AW55" s="123">
        <f t="shared" ref="AW55" ca="1" si="3">ROUNDUP(AC55*720/3600,3)</f>
        <v>7.0000000000000001E-3</v>
      </c>
      <c r="AX55" s="124"/>
      <c r="AY55" s="124"/>
      <c r="AZ55" s="124"/>
      <c r="BA55" s="124"/>
      <c r="BB55" s="124"/>
      <c r="BC55" s="125"/>
      <c r="BD55" s="135">
        <f ca="1">AW55+RANDBETWEEN(-2,3)/10000</f>
        <v>7.3000000000000001E-3</v>
      </c>
      <c r="BE55" s="136"/>
      <c r="BF55" s="136"/>
      <c r="BG55" s="136"/>
      <c r="BH55" s="136"/>
      <c r="BI55" s="136"/>
      <c r="BJ55" s="137"/>
      <c r="BK55" s="132">
        <f t="shared" ca="1" si="1"/>
        <v>-4.0999999999999996</v>
      </c>
      <c r="BL55" s="133"/>
      <c r="BM55" s="133"/>
      <c r="BN55" s="133"/>
      <c r="BO55" s="133"/>
      <c r="BP55" s="134"/>
      <c r="BQ55" s="90"/>
      <c r="BR55" s="91"/>
      <c r="BS55" s="91"/>
      <c r="BT55" s="91"/>
      <c r="BU55" s="95"/>
      <c r="BV55" s="43"/>
      <c r="BW55" s="43"/>
      <c r="BX55" s="43"/>
    </row>
    <row r="56" spans="1:76" s="60" customFormat="1" ht="18" customHeight="1" x14ac:dyDescent="0.3">
      <c r="A56" s="43"/>
      <c r="B56" s="145" t="s">
        <v>220</v>
      </c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7"/>
      <c r="V56" s="165"/>
      <c r="W56" s="166"/>
      <c r="X56" s="166"/>
      <c r="Y56" s="166"/>
      <c r="Z56" s="166"/>
      <c r="AA56" s="166"/>
      <c r="AB56" s="167"/>
      <c r="AC56" s="123">
        <f ca="1">IF($V$53="А",ROUND(RANDBETWEEN(155,175)/1000,3),IF($V$53="В",ROUND(RANDBETWEEN(125,135)/1000,3),"буква"))</f>
        <v>0.125</v>
      </c>
      <c r="AD56" s="124"/>
      <c r="AE56" s="124"/>
      <c r="AF56" s="124"/>
      <c r="AG56" s="124"/>
      <c r="AH56" s="124"/>
      <c r="AI56" s="125"/>
      <c r="AJ56" s="119">
        <f ca="1">AQ55+RANDBETWEEN(4,7)/1000</f>
        <v>145.53600000000003</v>
      </c>
      <c r="AK56" s="120"/>
      <c r="AL56" s="120"/>
      <c r="AM56" s="120"/>
      <c r="AN56" s="120"/>
      <c r="AO56" s="120"/>
      <c r="AP56" s="121"/>
      <c r="AQ56" s="123">
        <f t="shared" ca="1" si="0"/>
        <v>145.54900000000004</v>
      </c>
      <c r="AR56" s="124"/>
      <c r="AS56" s="124"/>
      <c r="AT56" s="124"/>
      <c r="AU56" s="124"/>
      <c r="AV56" s="125"/>
      <c r="AW56" s="123">
        <f ca="1">ROUNDUP(AC56*360/3600,3)</f>
        <v>1.3000000000000001E-2</v>
      </c>
      <c r="AX56" s="124"/>
      <c r="AY56" s="124"/>
      <c r="AZ56" s="124"/>
      <c r="BA56" s="124"/>
      <c r="BB56" s="124"/>
      <c r="BC56" s="125"/>
      <c r="BD56" s="135">
        <f ca="1">AW56+RANDBETWEEN(-2,2)/10000</f>
        <v>1.2800000000000001E-2</v>
      </c>
      <c r="BE56" s="136"/>
      <c r="BF56" s="136"/>
      <c r="BG56" s="136"/>
      <c r="BH56" s="136"/>
      <c r="BI56" s="136"/>
      <c r="BJ56" s="137"/>
      <c r="BK56" s="132">
        <f ca="1">ROUND(((AW56-BD56)/BD56)*100,1)</f>
        <v>1.6</v>
      </c>
      <c r="BL56" s="133"/>
      <c r="BM56" s="133"/>
      <c r="BN56" s="133"/>
      <c r="BO56" s="133"/>
      <c r="BP56" s="134"/>
      <c r="BQ56" s="86" t="s">
        <v>69</v>
      </c>
      <c r="BR56" s="87"/>
      <c r="BS56" s="87"/>
      <c r="BT56" s="92">
        <v>2</v>
      </c>
      <c r="BU56" s="93"/>
      <c r="BV56" s="43"/>
      <c r="BW56" s="43"/>
      <c r="BX56" s="43"/>
    </row>
    <row r="57" spans="1:76" s="60" customFormat="1" ht="18" customHeight="1" x14ac:dyDescent="0.3">
      <c r="A57" s="43"/>
      <c r="B57" s="148"/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50"/>
      <c r="V57" s="165"/>
      <c r="W57" s="166"/>
      <c r="X57" s="166"/>
      <c r="Y57" s="166"/>
      <c r="Z57" s="166"/>
      <c r="AA57" s="166"/>
      <c r="AB57" s="167"/>
      <c r="AC57" s="123">
        <f ca="1">IF($V$53="А",ROUND(RANDBETWEEN(155,175)/1000,3),IF($V$53="В",ROUND(RANDBETWEEN(125,135)/1000,3),"буква"))</f>
        <v>0.13300000000000001</v>
      </c>
      <c r="AD57" s="124"/>
      <c r="AE57" s="124"/>
      <c r="AF57" s="124"/>
      <c r="AG57" s="124"/>
      <c r="AH57" s="124"/>
      <c r="AI57" s="125"/>
      <c r="AJ57" s="119">
        <f t="shared" ref="AJ57:AJ58" ca="1" si="4">AQ56+RANDBETWEEN(4,7)/1000</f>
        <v>145.55300000000003</v>
      </c>
      <c r="AK57" s="120"/>
      <c r="AL57" s="120"/>
      <c r="AM57" s="120"/>
      <c r="AN57" s="120"/>
      <c r="AO57" s="120"/>
      <c r="AP57" s="121"/>
      <c r="AQ57" s="123">
        <f t="shared" ca="1" si="0"/>
        <v>145.56700000000004</v>
      </c>
      <c r="AR57" s="124"/>
      <c r="AS57" s="124"/>
      <c r="AT57" s="124"/>
      <c r="AU57" s="124"/>
      <c r="AV57" s="125"/>
      <c r="AW57" s="123">
        <f ca="1">ROUNDUP(AC57*360/3600,3)</f>
        <v>1.3999999999999999E-2</v>
      </c>
      <c r="AX57" s="124"/>
      <c r="AY57" s="124"/>
      <c r="AZ57" s="124"/>
      <c r="BA57" s="124"/>
      <c r="BB57" s="124"/>
      <c r="BC57" s="125"/>
      <c r="BD57" s="135">
        <f ca="1">AW57+RANDBETWEEN(-2,2)/10000</f>
        <v>1.3999999999999999E-2</v>
      </c>
      <c r="BE57" s="136"/>
      <c r="BF57" s="136"/>
      <c r="BG57" s="136"/>
      <c r="BH57" s="136"/>
      <c r="BI57" s="136"/>
      <c r="BJ57" s="137"/>
      <c r="BK57" s="132">
        <f t="shared" ref="BK57:BK58" ca="1" si="5">ROUND(((AW57-BD57)/BD57)*100,1)</f>
        <v>0</v>
      </c>
      <c r="BL57" s="133"/>
      <c r="BM57" s="133"/>
      <c r="BN57" s="133"/>
      <c r="BO57" s="133"/>
      <c r="BP57" s="134"/>
      <c r="BQ57" s="88"/>
      <c r="BR57" s="89"/>
      <c r="BS57" s="89"/>
      <c r="BT57" s="89"/>
      <c r="BU57" s="94"/>
      <c r="BV57" s="43"/>
      <c r="BW57" s="43"/>
      <c r="BX57" s="43"/>
    </row>
    <row r="58" spans="1:76" s="60" customFormat="1" ht="18" customHeight="1" x14ac:dyDescent="0.3">
      <c r="A58" s="43"/>
      <c r="B58" s="151"/>
      <c r="C58" s="152"/>
      <c r="D58" s="152"/>
      <c r="E58" s="152"/>
      <c r="F58" s="152"/>
      <c r="G58" s="152"/>
      <c r="H58" s="152"/>
      <c r="I58" s="152"/>
      <c r="J58" s="152"/>
      <c r="K58" s="152"/>
      <c r="L58" s="152"/>
      <c r="M58" s="152"/>
      <c r="N58" s="152"/>
      <c r="O58" s="152"/>
      <c r="P58" s="152"/>
      <c r="Q58" s="152"/>
      <c r="R58" s="152"/>
      <c r="S58" s="152"/>
      <c r="T58" s="152"/>
      <c r="U58" s="153"/>
      <c r="V58" s="165"/>
      <c r="W58" s="166"/>
      <c r="X58" s="166"/>
      <c r="Y58" s="166"/>
      <c r="Z58" s="166"/>
      <c r="AA58" s="166"/>
      <c r="AB58" s="167"/>
      <c r="AC58" s="123">
        <f ca="1">IF($V$53="А",ROUND(RANDBETWEEN(155,175)/1000,3),IF($V$53="В",ROUND(RANDBETWEEN(125,135)/1000,3),"буква"))</f>
        <v>0.13400000000000001</v>
      </c>
      <c r="AD58" s="124"/>
      <c r="AE58" s="124"/>
      <c r="AF58" s="124"/>
      <c r="AG58" s="124"/>
      <c r="AH58" s="124"/>
      <c r="AI58" s="125"/>
      <c r="AJ58" s="119">
        <f t="shared" ca="1" si="4"/>
        <v>145.57400000000004</v>
      </c>
      <c r="AK58" s="120"/>
      <c r="AL58" s="120"/>
      <c r="AM58" s="120"/>
      <c r="AN58" s="120"/>
      <c r="AO58" s="120"/>
      <c r="AP58" s="121"/>
      <c r="AQ58" s="123">
        <f t="shared" ca="1" si="0"/>
        <v>145.58800000000005</v>
      </c>
      <c r="AR58" s="124"/>
      <c r="AS58" s="124"/>
      <c r="AT58" s="124"/>
      <c r="AU58" s="124"/>
      <c r="AV58" s="125"/>
      <c r="AW58" s="123">
        <f ca="1">ROUNDUP(AC58*360/3600,3)</f>
        <v>1.3999999999999999E-2</v>
      </c>
      <c r="AX58" s="124"/>
      <c r="AY58" s="124"/>
      <c r="AZ58" s="124"/>
      <c r="BA58" s="124"/>
      <c r="BB58" s="124"/>
      <c r="BC58" s="125"/>
      <c r="BD58" s="135">
        <f ca="1">AW58+RANDBETWEEN(-2,2)/10000</f>
        <v>1.4199999999999999E-2</v>
      </c>
      <c r="BE58" s="136"/>
      <c r="BF58" s="136"/>
      <c r="BG58" s="136"/>
      <c r="BH58" s="136"/>
      <c r="BI58" s="136"/>
      <c r="BJ58" s="137"/>
      <c r="BK58" s="132">
        <f t="shared" ca="1" si="5"/>
        <v>-1.4</v>
      </c>
      <c r="BL58" s="133"/>
      <c r="BM58" s="133"/>
      <c r="BN58" s="133"/>
      <c r="BO58" s="133"/>
      <c r="BP58" s="134"/>
      <c r="BQ58" s="90"/>
      <c r="BR58" s="91"/>
      <c r="BS58" s="91"/>
      <c r="BT58" s="91"/>
      <c r="BU58" s="95"/>
      <c r="BV58" s="43"/>
      <c r="BW58" s="43"/>
      <c r="BX58" s="43"/>
    </row>
    <row r="59" spans="1:76" s="60" customFormat="1" ht="18" customHeight="1" x14ac:dyDescent="0.3">
      <c r="A59" s="43"/>
      <c r="B59" s="145" t="s">
        <v>74</v>
      </c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7"/>
      <c r="V59" s="165"/>
      <c r="W59" s="166"/>
      <c r="X59" s="166"/>
      <c r="Y59" s="166"/>
      <c r="Z59" s="166"/>
      <c r="AA59" s="166"/>
      <c r="AB59" s="167"/>
      <c r="AC59" s="119">
        <f ca="1">ROUND(RANDBETWEEN(890,960)/1000,3)</f>
        <v>0.91900000000000004</v>
      </c>
      <c r="AD59" s="158"/>
      <c r="AE59" s="158"/>
      <c r="AF59" s="158"/>
      <c r="AG59" s="158"/>
      <c r="AH59" s="158"/>
      <c r="AI59" s="159"/>
      <c r="AJ59" s="174">
        <f ca="1">AQ58+RANDBETWEEN(15,18)/1000</f>
        <v>145.60600000000005</v>
      </c>
      <c r="AK59" s="175"/>
      <c r="AL59" s="175"/>
      <c r="AM59" s="175"/>
      <c r="AN59" s="175"/>
      <c r="AO59" s="175"/>
      <c r="AP59" s="176"/>
      <c r="AQ59" s="126">
        <f ca="1">AJ59+AW59</f>
        <v>145.63700000000006</v>
      </c>
      <c r="AR59" s="127"/>
      <c r="AS59" s="127"/>
      <c r="AT59" s="127"/>
      <c r="AU59" s="127"/>
      <c r="AV59" s="128"/>
      <c r="AW59" s="123">
        <f ca="1">ROUNDUP(AC59*120/3600,3)</f>
        <v>3.1E-2</v>
      </c>
      <c r="AX59" s="130"/>
      <c r="AY59" s="130"/>
      <c r="AZ59" s="130"/>
      <c r="BA59" s="130"/>
      <c r="BB59" s="130"/>
      <c r="BC59" s="131"/>
      <c r="BD59" s="135">
        <f ca="1">AW59+RANDBETWEEN(-5,5)/10000</f>
        <v>3.15E-2</v>
      </c>
      <c r="BE59" s="160"/>
      <c r="BF59" s="160"/>
      <c r="BG59" s="160"/>
      <c r="BH59" s="160"/>
      <c r="BI59" s="160"/>
      <c r="BJ59" s="161"/>
      <c r="BK59" s="132">
        <f ca="1">ROUND(((AW59-BD59)/BD59)*100,1)</f>
        <v>-1.6</v>
      </c>
      <c r="BL59" s="154"/>
      <c r="BM59" s="154"/>
      <c r="BN59" s="154"/>
      <c r="BO59" s="154"/>
      <c r="BP59" s="155"/>
      <c r="BQ59" s="86" t="s">
        <v>69</v>
      </c>
      <c r="BR59" s="87"/>
      <c r="BS59" s="87"/>
      <c r="BT59" s="92">
        <v>2</v>
      </c>
      <c r="BU59" s="93"/>
      <c r="BV59" s="43"/>
      <c r="BW59" s="43"/>
      <c r="BX59" s="43"/>
    </row>
    <row r="60" spans="1:76" s="60" customFormat="1" ht="18" customHeight="1" x14ac:dyDescent="0.3">
      <c r="A60" s="43"/>
      <c r="B60" s="148"/>
      <c r="C60" s="149"/>
      <c r="D60" s="149"/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50"/>
      <c r="V60" s="165"/>
      <c r="W60" s="166"/>
      <c r="X60" s="166"/>
      <c r="Y60" s="166"/>
      <c r="Z60" s="166"/>
      <c r="AA60" s="166"/>
      <c r="AB60" s="167"/>
      <c r="AC60" s="119">
        <f ca="1">ROUND(RANDBETWEEN(890,960)/1000,3)</f>
        <v>0.89</v>
      </c>
      <c r="AD60" s="158"/>
      <c r="AE60" s="158"/>
      <c r="AF60" s="158"/>
      <c r="AG60" s="158"/>
      <c r="AH60" s="158"/>
      <c r="AI60" s="159"/>
      <c r="AJ60" s="119">
        <f t="shared" ref="AJ60" ca="1" si="6">AQ59+RANDBETWEEN(15,18)/1000</f>
        <v>145.65500000000006</v>
      </c>
      <c r="AK60" s="120"/>
      <c r="AL60" s="120"/>
      <c r="AM60" s="120"/>
      <c r="AN60" s="120"/>
      <c r="AO60" s="120"/>
      <c r="AP60" s="121"/>
      <c r="AQ60" s="123">
        <f t="shared" ca="1" si="0"/>
        <v>145.68500000000006</v>
      </c>
      <c r="AR60" s="124"/>
      <c r="AS60" s="124"/>
      <c r="AT60" s="124"/>
      <c r="AU60" s="124"/>
      <c r="AV60" s="125"/>
      <c r="AW60" s="123">
        <f t="shared" ref="AW60:AW61" ca="1" si="7">ROUNDUP(AC60*120/3600,3)</f>
        <v>3.0000000000000002E-2</v>
      </c>
      <c r="AX60" s="130"/>
      <c r="AY60" s="130"/>
      <c r="AZ60" s="130"/>
      <c r="BA60" s="130"/>
      <c r="BB60" s="130"/>
      <c r="BC60" s="131"/>
      <c r="BD60" s="135">
        <f ca="1">AW60+RANDBETWEEN(-5,5)/10000</f>
        <v>2.9500000000000002E-2</v>
      </c>
      <c r="BE60" s="160"/>
      <c r="BF60" s="160"/>
      <c r="BG60" s="160"/>
      <c r="BH60" s="160"/>
      <c r="BI60" s="160"/>
      <c r="BJ60" s="161"/>
      <c r="BK60" s="132">
        <f ca="1">ROUND(((AW60-BD60)/BD60)*100,1)</f>
        <v>1.7</v>
      </c>
      <c r="BL60" s="154"/>
      <c r="BM60" s="154"/>
      <c r="BN60" s="154"/>
      <c r="BO60" s="154"/>
      <c r="BP60" s="155"/>
      <c r="BQ60" s="88"/>
      <c r="BR60" s="89"/>
      <c r="BS60" s="89"/>
      <c r="BT60" s="89"/>
      <c r="BU60" s="94"/>
      <c r="BV60" s="43"/>
      <c r="BW60" s="43"/>
      <c r="BX60" s="43"/>
    </row>
    <row r="61" spans="1:76" s="60" customFormat="1" ht="18" customHeight="1" x14ac:dyDescent="0.3">
      <c r="A61" s="43"/>
      <c r="B61" s="151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3"/>
      <c r="V61" s="168"/>
      <c r="W61" s="169"/>
      <c r="X61" s="169"/>
      <c r="Y61" s="169"/>
      <c r="Z61" s="169"/>
      <c r="AA61" s="169"/>
      <c r="AB61" s="170"/>
      <c r="AC61" s="119">
        <f ca="1">ROUND(RANDBETWEEN(890,960)/1000,3)</f>
        <v>0.93</v>
      </c>
      <c r="AD61" s="158"/>
      <c r="AE61" s="158"/>
      <c r="AF61" s="158"/>
      <c r="AG61" s="158"/>
      <c r="AH61" s="158"/>
      <c r="AI61" s="159"/>
      <c r="AJ61" s="171">
        <f ca="1">AQ60+RANDBETWEEN(15,18)/1000</f>
        <v>145.70200000000006</v>
      </c>
      <c r="AK61" s="172"/>
      <c r="AL61" s="172"/>
      <c r="AM61" s="172"/>
      <c r="AN61" s="172"/>
      <c r="AO61" s="172"/>
      <c r="AP61" s="173"/>
      <c r="AQ61" s="129">
        <f t="shared" ca="1" si="0"/>
        <v>145.73300000000006</v>
      </c>
      <c r="AR61" s="130"/>
      <c r="AS61" s="130"/>
      <c r="AT61" s="130"/>
      <c r="AU61" s="130"/>
      <c r="AV61" s="131"/>
      <c r="AW61" s="123">
        <f t="shared" ca="1" si="7"/>
        <v>3.1E-2</v>
      </c>
      <c r="AX61" s="130"/>
      <c r="AY61" s="130"/>
      <c r="AZ61" s="130"/>
      <c r="BA61" s="130"/>
      <c r="BB61" s="130"/>
      <c r="BC61" s="131"/>
      <c r="BD61" s="135">
        <f ca="1">AW61+RANDBETWEEN(-5,5)/10000</f>
        <v>3.0699999999999998E-2</v>
      </c>
      <c r="BE61" s="160"/>
      <c r="BF61" s="160"/>
      <c r="BG61" s="160"/>
      <c r="BH61" s="160"/>
      <c r="BI61" s="160"/>
      <c r="BJ61" s="161"/>
      <c r="BK61" s="132">
        <f ca="1">ROUND(((AW61-BD61)/BD61)*100,1)</f>
        <v>1</v>
      </c>
      <c r="BL61" s="154"/>
      <c r="BM61" s="154"/>
      <c r="BN61" s="154"/>
      <c r="BO61" s="154"/>
      <c r="BP61" s="155"/>
      <c r="BQ61" s="90"/>
      <c r="BR61" s="91"/>
      <c r="BS61" s="91"/>
      <c r="BT61" s="91"/>
      <c r="BU61" s="9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57" t="s">
        <v>8</v>
      </c>
      <c r="C64" s="157"/>
      <c r="D64" s="157"/>
      <c r="E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  <c r="V64" s="157"/>
      <c r="W64" s="157"/>
      <c r="X64" s="157"/>
      <c r="Y64" s="157"/>
      <c r="Z64" s="157"/>
      <c r="AA64" s="157"/>
      <c r="AB64" s="157"/>
      <c r="AC64" s="157"/>
      <c r="AD64" s="157"/>
      <c r="AE64" s="157"/>
      <c r="AF64" s="157"/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57"/>
      <c r="AR64" s="157"/>
      <c r="AS64" s="157"/>
      <c r="AT64" s="157"/>
      <c r="AU64" s="157"/>
      <c r="AV64" s="157"/>
      <c r="AW64" s="157"/>
      <c r="AX64" s="157"/>
      <c r="AY64" s="157"/>
      <c r="AZ64" s="157"/>
      <c r="BA64" s="157"/>
      <c r="BB64" s="157"/>
      <c r="BC64" s="157"/>
      <c r="BD64" s="157"/>
      <c r="BE64" s="157"/>
      <c r="BF64" s="157"/>
      <c r="BG64" s="157"/>
      <c r="BH64" s="157"/>
      <c r="BI64" s="157"/>
      <c r="BJ64" s="157"/>
      <c r="BK64" s="157"/>
      <c r="BL64" s="157"/>
      <c r="BM64" s="157"/>
      <c r="BN64" s="157"/>
      <c r="BO64" s="157"/>
      <c r="BP64" s="157"/>
      <c r="BQ64" s="157"/>
      <c r="BR64" s="157"/>
      <c r="BS64" s="157"/>
      <c r="BT64" s="157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42" t="s">
        <v>229</v>
      </c>
      <c r="B66" s="143"/>
      <c r="C66" s="143"/>
      <c r="D66" s="143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43"/>
      <c r="BX66" s="43"/>
    </row>
    <row r="67" spans="1:76" ht="19.5" customHeight="1" x14ac:dyDescent="0.3">
      <c r="A67" s="143"/>
      <c r="B67" s="143"/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18" t="str">
        <f>Данные!C8</f>
        <v>Стариков С.В.</v>
      </c>
      <c r="W69" s="118"/>
      <c r="X69" s="118"/>
      <c r="Y69" s="118"/>
      <c r="Z69" s="118"/>
      <c r="AA69" s="118"/>
      <c r="AB69" s="118"/>
      <c r="AC69" s="118"/>
      <c r="AD69" s="118"/>
      <c r="AE69" s="118"/>
      <c r="AF69" s="118"/>
      <c r="AG69" s="118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17">
        <f>Данные!B9</f>
        <v>45938</v>
      </c>
      <c r="BC69" s="117"/>
      <c r="BD69" s="117"/>
      <c r="BE69" s="117"/>
      <c r="BF69" s="117"/>
      <c r="BG69" s="117"/>
      <c r="BH69" s="117"/>
      <c r="BI69" s="117"/>
      <c r="BJ69" s="117"/>
      <c r="BK69" s="117"/>
      <c r="BL69" s="117"/>
      <c r="BM69" s="117"/>
      <c r="BN69" s="117"/>
      <c r="BO69" s="117"/>
      <c r="BP69" s="117"/>
      <c r="BQ69" s="117"/>
      <c r="BR69" s="117"/>
      <c r="BS69" s="117"/>
      <c r="BT69" s="117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56" t="s">
        <v>10</v>
      </c>
      <c r="J70" s="156"/>
      <c r="K70" s="156"/>
      <c r="L70" s="156"/>
      <c r="M70" s="156"/>
      <c r="N70" s="156"/>
      <c r="O70" s="156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38"/>
      <c r="Y72" s="138"/>
      <c r="Z72" s="138"/>
      <c r="AA72" s="138"/>
      <c r="AB72" s="138"/>
      <c r="AC72" s="138"/>
      <c r="AD72" s="138"/>
      <c r="AE72" s="138"/>
      <c r="AF72" s="138"/>
      <c r="AG72" s="138"/>
      <c r="AH72" s="138"/>
      <c r="AI72" s="138"/>
      <c r="AJ72" s="138"/>
      <c r="AK72" s="138"/>
      <c r="AL72" s="138"/>
      <c r="AM72" s="138"/>
      <c r="AN72" s="138"/>
      <c r="AO72" s="138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tabSelected="1"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120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267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2012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269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270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268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45938</v>
      </c>
      <c r="C9" s="13"/>
      <c r="D9" s="13"/>
      <c r="E9" s="13"/>
    </row>
    <row r="10" spans="1:21" ht="18" x14ac:dyDescent="0.35">
      <c r="A10" s="11" t="s">
        <v>15</v>
      </c>
      <c r="B10" s="76">
        <v>24.2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59.8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105.6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5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5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45938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11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" priority="1">
      <formula>$B$9&lt;$A$16</formula>
    </cfRule>
    <cfRule type="expression" dxfId="0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2025-09-30T16:38:33Z</cp:lastPrinted>
  <dcterms:created xsi:type="dcterms:W3CDTF">2015-01-22T18:16:29Z</dcterms:created>
  <dcterms:modified xsi:type="dcterms:W3CDTF">2025-10-08T15:03:41Z</dcterms:modified>
</cp:coreProperties>
</file>