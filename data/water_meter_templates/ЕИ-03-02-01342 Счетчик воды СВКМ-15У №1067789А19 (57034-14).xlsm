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7.10.2025\"/>
    </mc:Choice>
  </mc:AlternateContent>
  <xr:revisionPtr revIDLastSave="0" documentId="8_{EB130443-559D-49E1-AC98-996311183C9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<sst xmlns="http://schemas.openxmlformats.org/spreadsheetml/2006/main" count="499" uniqueCount="271">
  <si>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</si>
  <si>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</si>
  <si>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</si>
  <si>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</si>
  <si>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</si>
  <si>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</si>
  <si>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</si>
  <si>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</si>
  <si>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</si>
  <si>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</si>
  <si>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</si>
  <si>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</si>
  <si>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</si>
  <si>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</si>
  <si>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</si>
  <si>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</si>
  <si>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</si>
  <si>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</si>
  <si>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</si>
  <si>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</si>
  <si>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</si>
  <si>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</si>
  <si>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</si>
  <si>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</si>
  <si>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</si>
  <si>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</si>
  <si>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</si>
  <si>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</si>
  <si>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</si>
  <si>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</si>
  <si>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</si>
  <si>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</si>
  <si>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</si>
  <si>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</si>
  <si>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</si>
  <si>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</si>
  <si>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</si>
  <si>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</si>
  <si>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</si>
  <si>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</si>
  <si>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</si>
  <si>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</si>
  <si>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</si>
  <si>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</si>
  <si>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</si>
  <si>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</si>
  <si>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</si>
  <si>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</si>
  <si>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</si>
  <si>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</si>
  <si>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</si>
  <si>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</si>
  <si>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</si>
  <si>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</si>
  <si>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</si>
  <si>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</si>
  <si>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</si>
  <si>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</si>
  <si>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</si>
  <si>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</si>
  <si>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</si>
  <si>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</si>
  <si>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</si>
  <si>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</si>
  <si>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</si>
  <si>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</si>
  <si>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</si>
  <si>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</si>
  <si>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</si>
  <si>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</si>
  <si>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</si>
  <si>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</si>
  <si>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</si>
  <si>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</si>
  <si>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</si>
  <si>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</si>
  <si>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</si>
  <si>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</si>
  <si>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</si>
  <si>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</si>
  <si>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</si>
  <si>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</si>
  <si>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</si>
  <si>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</si>
  <si>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</si>
  <si>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</si>
  <si>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</si>
  <si>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</si>
  <si>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</si>
  <si>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</si>
  <si>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</si>
  <si>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</si>
  <si>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</si>
  <si>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</si>
  <si>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</si>
  <si>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</si>
  <si>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</si>
  <si>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</si>
  <si>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</si>
  <si>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</si>
  <si>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</si>
  <si>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</si>
  <si>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</si>
  <si>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</si>
  <si>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</si>
  <si>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</si>
  <si>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</si>
  <si>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</si>
  <si>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</si>
  <si>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</si>
  <si>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</si>
  <si>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</si>
  <si>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</si>
  <si>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</si>
  <si>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</si>
  <si>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</si>
  <si>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</si>
  <si>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</si>
  <si>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</si>
  <si>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</si>
  <si>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</si>
  <si>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</si>
  <si>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</si>
  <si>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</si>
  <si>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</si>
  <si>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</si>
  <si>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</si>
  <si>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</si>
  <si>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</si>
  <si>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</si>
  <si>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</si>
  <si>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</si>
  <si>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</si>
  <si>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</si>
  <si>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</si>
  <si>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</si>
  <si>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</si>
  <si>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</si>
  <si>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</si>
  <si>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</si>
  <si>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</si>
  <si>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</si>
  <si>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</si>
  <si>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</si>
  <si>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</si>
  <si>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</si>
  <si>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</si>
  <si>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</si>
  <si>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</si>
  <si>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</si>
  <si>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</si>
  <si>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</si>
  <si>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</si>
  <si>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</si>
  <si>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</si>
  <si>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</si>
  <si>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</si>
  <si>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</si>
  <si>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</si>
  <si>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</si>
  <si>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</si>
  <si>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</si>
  <si>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</si>
  <si>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</si>
  <si>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</si>
  <si>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</si>
  <si>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</si>
  <si>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</si>
  <si>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</si>
  <si>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</si>
  <si>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</si>
  <si>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</si>
  <si>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</si>
  <si>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</si>
  <si>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</si>
  <si>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</si>
  <si>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</si>
  <si>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</si>
  <si>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</si>
  <si>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</si>
  <si>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</si>
  <si>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</si>
  <si>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</si>
  <si>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</si>
  <si>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</si>
  <si>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</si>
  <si>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</si>
  <si>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</si>
  <si>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</si>
  <si>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</si>
  <si>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</si>
  <si>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</si>
  <si>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</si>
  <si>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</si>
  <si>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</si>
  <si>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</si>
  <si>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</si>
  <si>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</si>
  <si>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</si>
  <si>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</si>
  <si>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</si>
  <si>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</si>
  <si>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</si>
  <si>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</si>
  <si>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</si>
  <si>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</si>
  <si>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</si>
  <si>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</si>
  <si>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</si>
  <si>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</si>
  <si>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</si>
  <si>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</si>
  <si>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</si>
  <si>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</si>
  <si>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</si>
  <si>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</si>
  <si>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</si>
  <si>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</si>
  <si>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</si>
  <si>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</si>
  <si>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</si>
  <si>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</si>
  <si>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</si>
  <si>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</si>
  <si>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</si>
  <si>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</si>
  <si>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</si>
  <si>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</si>
  <si>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</si>
  <si>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</si>
  <si>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</si>
  <si>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</si>
  <si>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</si>
  <si>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</si>
  <si>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</si>
  <si>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</si>
  <si>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</si>
  <si>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</si>
  <si>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</si>
  <si>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</si>
  <si>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</si>
  <si>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</si>
  <si>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</si>
  <si>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</si>
  <si>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</si>
  <si>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</si>
  <si>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</si>
  <si>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</si>
  <si>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</si>
  <si>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</si>
  <si>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</si>
  <si>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</si>
  <si>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</si>
  <si>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</si>
  <si>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</si>
  <si>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</si>
  <si>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</si>
  <si>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</si>
  <si>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</si>
  <si>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</si>
  <si>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</si>
  <si>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</si>
  <si>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</si>
  <si>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</si>
  <si>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</si>
  <si>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</si>
  <si>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</si>
  <si>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Яранский район, местечко Опытное Поле, ул.Северная 9-4</t>
  </si>
  <si>
    <t>01342</t>
  </si>
  <si>
    <t>1067789А19</t>
  </si>
  <si>
    <t>72,791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</si>
</sst>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center" vertical="center"/>
    </xf>
    <xf numFmtId="0" fontId="29" fillId="0" borderId="12" xfId="0" applyFont="1" applyBorder="1"/>
    <xf numFmtId="0" fontId="29" fillId="0" borderId="13" xfId="0" applyFont="1" applyBorder="1"/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9" fillId="0" borderId="14" xfId="0" applyFont="1" applyBorder="1"/>
    <xf numFmtId="0" fontId="29" fillId="0" borderId="10" xfId="0" applyFont="1" applyBorder="1"/>
    <xf numFmtId="0" fontId="29" fillId="0" borderId="1" xfId="0" applyFont="1" applyBorder="1"/>
    <xf numFmtId="0" fontId="29" fillId="0" borderId="8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27" fillId="0" borderId="18" xfId="0" applyFont="1" applyBorder="1"/>
    <xf numFmtId="0" fontId="27" fillId="0" borderId="19" xfId="0" applyFont="1" applyBorder="1"/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8" fillId="0" borderId="17" xfId="0" applyNumberFormat="1" applyFont="1" applyBorder="1" applyAlignment="1">
      <alignment horizontal="center" vertical="center"/>
    </xf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28" fillId="0" borderId="15" xfId="0" applyFont="1" applyBorder="1" applyAlignment="1">
      <alignment horizontal="right" vertical="center"/>
    </xf>
    <xf numFmtId="0" fontId="29" fillId="0" borderId="4" xfId="0" applyFont="1" applyBorder="1"/>
    <xf numFmtId="0" fontId="29" fillId="0" borderId="0" xfId="0" applyFo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49" fontId="28" fillId="0" borderId="17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/>
    </xf>
    <xf numFmtId="0" fontId="35" fillId="0" borderId="17" xfId="0" applyFont="1" applyBorder="1" applyAlignment="1">
      <alignment horizontal="center"/>
    </xf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9">
    <dxf>
      <fill>
        <patternFill>
          <bgColor theme="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6" tableBorderDxfId="15">
  <autoFilter ref="K52:W117" xr:uid="{00000000-0009-0000-0100-000002000000}"/>
  <tableColumns count="13">
    <tableColumn id="1" xr3:uid="{00000000-0010-0000-0000-000001000000}" name="тип" dataDxfId="14"/>
    <tableColumn id="2" xr3:uid="{00000000-0010-0000-0000-000002000000}" name="мп" dataDxfId="13"/>
    <tableColumn id="3" xr3:uid="{00000000-0010-0000-0000-000003000000}" name="min" dataDxfId="12"/>
    <tableColumn id="4" xr3:uid="{00000000-0010-0000-0000-000004000000}" name="перех А" dataDxfId="11"/>
    <tableColumn id="5" xr3:uid="{00000000-0010-0000-0000-000005000000}" name="перех B" dataDxfId="10"/>
    <tableColumn id="6" xr3:uid="{00000000-0010-0000-0000-000006000000}" name="ном" dataDxfId="9"/>
    <tableColumn id="7" xr3:uid="{00000000-0010-0000-0000-000007000000}" name="max" dataDxfId="8"/>
    <tableColumn id="8" xr3:uid="{00000000-0010-0000-0000-000008000000}" name="порг1" dataDxfId="7"/>
    <tableColumn id="9" xr3:uid="{00000000-0010-0000-0000-000009000000}" name="погр2" dataDxfId="6"/>
    <tableColumn id="10" xr3:uid="{00000000-0010-0000-0000-00000A000000}" name="Столбец1" dataDxfId="5"/>
    <tableColumn id="11" xr3:uid="{00000000-0010-0000-0000-00000B000000}" name="Столбец2" dataDxfId="4"/>
    <tableColumn id="12" xr3:uid="{00000000-0010-0000-0000-00000C000000}" name="Столбец3" dataDxfId="3"/>
    <tableColumn id="14" xr3:uid="{00000000-0010-0000-0000-00000E000000}" name="Столбец4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87" t="s">
        <v>98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87" t="s">
        <v>99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87"/>
      <c r="BU2" s="87"/>
      <c r="BV2" s="87"/>
      <c r="BW2" s="43"/>
      <c r="BX2" s="43"/>
    </row>
    <row r="3" spans="1:89" ht="18.75" customHeight="1" x14ac:dyDescent="0.3">
      <c r="A3" s="88" t="s">
        <v>101</v>
      </c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43"/>
      <c r="BX3" s="43"/>
    </row>
    <row r="4" spans="1:89" ht="28.5" customHeight="1" x14ac:dyDescent="0.3">
      <c r="A4" s="90" t="s">
        <v>100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43"/>
      <c r="BX4" s="43"/>
    </row>
    <row r="5" spans="1:89" ht="27" customHeight="1" x14ac:dyDescent="0.35">
      <c r="A5" s="86" t="str">
        <f>CONCATENATE("ПРОТОКОЛ №","ЕИ-04/",Данные!B8,"-",Данные!B2)</f>
        <v>ПРОТОКОЛ №ЕИ-04/02-01342</v>
      </c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43"/>
      <c r="BX5" s="43"/>
    </row>
    <row r="6" spans="1:89" ht="15.75" customHeight="1" x14ac:dyDescent="0.3">
      <c r="A6" s="120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СВКМ-15У, год изготовления 2019, заводской № 1067789А19</v>
      </c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AQ6" s="121"/>
      <c r="AR6" s="121"/>
      <c r="AS6" s="121"/>
      <c r="AT6" s="121"/>
      <c r="AU6" s="121"/>
      <c r="AV6" s="121"/>
      <c r="AW6" s="121"/>
      <c r="AX6" s="121"/>
      <c r="AY6" s="121"/>
      <c r="AZ6" s="121"/>
      <c r="BA6" s="121"/>
      <c r="BB6" s="121"/>
      <c r="BC6" s="121"/>
      <c r="BD6" s="121"/>
      <c r="BE6" s="121"/>
      <c r="BF6" s="121"/>
      <c r="BG6" s="121"/>
      <c r="BH6" s="121"/>
      <c r="BI6" s="121"/>
      <c r="BJ6" s="121"/>
      <c r="BK6" s="121"/>
      <c r="BL6" s="121"/>
      <c r="BM6" s="121"/>
      <c r="BN6" s="121"/>
      <c r="BO6" s="121"/>
      <c r="BP6" s="121"/>
      <c r="BQ6" s="121"/>
      <c r="BR6" s="121"/>
      <c r="BS6" s="121"/>
      <c r="BT6" s="121"/>
      <c r="BU6" s="121"/>
      <c r="BV6" s="121"/>
      <c r="BW6" s="121"/>
      <c r="BX6" s="43"/>
    </row>
    <row r="7" spans="1:89" s="60" customFormat="1" ht="15.75" customHeight="1" x14ac:dyDescent="0.3">
      <c r="A7" s="121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1"/>
      <c r="BE7" s="121"/>
      <c r="BF7" s="121"/>
      <c r="BG7" s="121"/>
      <c r="BH7" s="121"/>
      <c r="BI7" s="121"/>
      <c r="BJ7" s="121"/>
      <c r="BK7" s="121"/>
      <c r="BL7" s="121"/>
      <c r="BM7" s="121"/>
      <c r="BN7" s="121"/>
      <c r="BO7" s="121"/>
      <c r="BP7" s="121"/>
      <c r="BQ7" s="121"/>
      <c r="BR7" s="121"/>
      <c r="BS7" s="121"/>
      <c r="BT7" s="121"/>
      <c r="BU7" s="121"/>
      <c r="BV7" s="121"/>
      <c r="BW7" s="121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57034-14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Яранский район, местечко Опытное Поле, ул.Северная 9-4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96" t="s">
        <v>28</v>
      </c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96"/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6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14" t="s">
        <v>82</v>
      </c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6"/>
      <c r="AF26" s="199" t="s">
        <v>78</v>
      </c>
      <c r="AG26" s="115"/>
      <c r="AH26" s="115"/>
      <c r="AI26" s="115"/>
      <c r="AJ26" s="115"/>
      <c r="AK26" s="115"/>
      <c r="AL26" s="115"/>
      <c r="AM26" s="115"/>
      <c r="AN26" s="115"/>
      <c r="AO26" s="116"/>
      <c r="AP26" s="199" t="s">
        <v>79</v>
      </c>
      <c r="AQ26" s="115"/>
      <c r="AR26" s="115"/>
      <c r="AS26" s="115"/>
      <c r="AT26" s="115"/>
      <c r="AU26" s="115"/>
      <c r="AV26" s="116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17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9"/>
      <c r="AF27" s="117"/>
      <c r="AG27" s="118"/>
      <c r="AH27" s="118"/>
      <c r="AI27" s="118"/>
      <c r="AJ27" s="118"/>
      <c r="AK27" s="118"/>
      <c r="AL27" s="118"/>
      <c r="AM27" s="118"/>
      <c r="AN27" s="118"/>
      <c r="AO27" s="119"/>
      <c r="AP27" s="117"/>
      <c r="AQ27" s="118"/>
      <c r="AR27" s="118"/>
      <c r="AS27" s="118"/>
      <c r="AT27" s="118"/>
      <c r="AU27" s="118"/>
      <c r="AV27" s="119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11" t="s">
        <v>75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3"/>
      <c r="AF28" s="198">
        <f>Данные!B10</f>
        <v>25.3</v>
      </c>
      <c r="AG28" s="109"/>
      <c r="AH28" s="109"/>
      <c r="AI28" s="109"/>
      <c r="AJ28" s="109"/>
      <c r="AK28" s="109"/>
      <c r="AL28" s="109"/>
      <c r="AM28" s="109"/>
      <c r="AN28" s="109"/>
      <c r="AO28" s="110"/>
      <c r="AP28" s="198">
        <f ca="1">AF28+(RANDBETWEEN(-26,53)/10)</f>
        <v>24.900000000000002</v>
      </c>
      <c r="AQ28" s="109"/>
      <c r="AR28" s="109"/>
      <c r="AS28" s="109"/>
      <c r="AT28" s="109"/>
      <c r="AU28" s="109"/>
      <c r="AV28" s="110"/>
      <c r="AW28" s="63"/>
      <c r="AX28" s="200" t="s">
        <v>95</v>
      </c>
      <c r="AY28" s="200"/>
      <c r="AZ28" s="200"/>
      <c r="BA28" s="200"/>
      <c r="BB28" s="200"/>
      <c r="BC28" s="200"/>
      <c r="BD28" s="200"/>
      <c r="BE28" s="200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08" t="s">
        <v>76</v>
      </c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10"/>
      <c r="AF29" s="194">
        <f>Данные!B11</f>
        <v>58.3</v>
      </c>
      <c r="AG29" s="109"/>
      <c r="AH29" s="109"/>
      <c r="AI29" s="109"/>
      <c r="AJ29" s="109"/>
      <c r="AK29" s="109"/>
      <c r="AL29" s="109"/>
      <c r="AM29" s="109"/>
      <c r="AN29" s="109"/>
      <c r="AO29" s="110"/>
      <c r="AP29" s="194">
        <f ca="1">AF29+(RANDBETWEEN(43,97)/10)</f>
        <v>63.9</v>
      </c>
      <c r="AQ29" s="109"/>
      <c r="AR29" s="109"/>
      <c r="AS29" s="109"/>
      <c r="AT29" s="109"/>
      <c r="AU29" s="109"/>
      <c r="AV29" s="110"/>
      <c r="AW29" s="63"/>
      <c r="AX29" s="200" t="s">
        <v>96</v>
      </c>
      <c r="AY29" s="200"/>
      <c r="AZ29" s="200"/>
      <c r="BA29" s="200"/>
      <c r="BB29" s="200"/>
      <c r="BC29" s="200"/>
      <c r="BD29" s="200"/>
      <c r="BE29" s="200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08" t="s">
        <v>77</v>
      </c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10"/>
      <c r="AF30" s="194">
        <f>Данные!B12</f>
        <v>104.8</v>
      </c>
      <c r="AG30" s="109"/>
      <c r="AH30" s="109"/>
      <c r="AI30" s="109"/>
      <c r="AJ30" s="109"/>
      <c r="AK30" s="109"/>
      <c r="AL30" s="109"/>
      <c r="AM30" s="109"/>
      <c r="AN30" s="109"/>
      <c r="AO30" s="110"/>
      <c r="AP30" s="195">
        <f>AF30</f>
        <v>104.8</v>
      </c>
      <c r="AQ30" s="196"/>
      <c r="AR30" s="196"/>
      <c r="AS30" s="196"/>
      <c r="AT30" s="196"/>
      <c r="AU30" s="196"/>
      <c r="AV30" s="197"/>
      <c r="AW30" s="63"/>
      <c r="AX30" s="200" t="s">
        <v>97</v>
      </c>
      <c r="AY30" s="200"/>
      <c r="AZ30" s="200"/>
      <c r="BA30" s="200"/>
      <c r="BB30" s="200"/>
      <c r="BC30" s="200"/>
      <c r="BD30" s="200"/>
      <c r="BE30" s="200"/>
      <c r="BF30" s="200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08" t="s">
        <v>83</v>
      </c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10"/>
      <c r="AF31" s="194">
        <f>Данные!B13</f>
        <v>6</v>
      </c>
      <c r="AG31" s="109"/>
      <c r="AH31" s="109"/>
      <c r="AI31" s="109"/>
      <c r="AJ31" s="109"/>
      <c r="AK31" s="109"/>
      <c r="AL31" s="109"/>
      <c r="AM31" s="109"/>
      <c r="AN31" s="109"/>
      <c r="AO31" s="110"/>
      <c r="AP31" s="194">
        <f>Данные!B14</f>
        <v>6</v>
      </c>
      <c r="AQ31" s="109"/>
      <c r="AR31" s="109"/>
      <c r="AS31" s="109"/>
      <c r="AT31" s="109"/>
      <c r="AU31" s="109"/>
      <c r="AV31" s="110"/>
      <c r="AW31" s="63"/>
      <c r="AX31" s="201" t="s">
        <v>81</v>
      </c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96" t="s">
        <v>31</v>
      </c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96" t="s">
        <v>32</v>
      </c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V37" s="96"/>
      <c r="AW37" s="96"/>
      <c r="AX37" s="96"/>
      <c r="AY37" s="96"/>
      <c r="AZ37" s="96"/>
      <c r="BA37" s="96"/>
      <c r="BB37" s="96"/>
      <c r="BC37" s="96"/>
      <c r="BD37" s="96"/>
      <c r="BE37" s="96"/>
      <c r="BF37" s="96"/>
      <c r="BG37" s="96"/>
      <c r="BH37" s="96"/>
      <c r="BI37" s="96"/>
      <c r="BJ37" s="96"/>
      <c r="BK37" s="96"/>
      <c r="BL37" s="96"/>
      <c r="BM37" s="96"/>
      <c r="BN37" s="96"/>
      <c r="BO37" s="96"/>
      <c r="BP37" s="96"/>
      <c r="BQ37" s="96"/>
      <c r="BR37" s="96"/>
      <c r="BS37" s="96"/>
      <c r="BT37" s="96"/>
      <c r="BU37" s="96"/>
      <c r="BV37" s="5"/>
      <c r="BW37" s="43"/>
      <c r="BX37" s="43"/>
    </row>
    <row r="38" spans="1:76" ht="4.5" customHeight="1" x14ac:dyDescent="0.3">
      <c r="A38" s="94" t="str">
        <f>INDEX(Данные!$K$53:$W$117,Данные!K51,2)</f>
        <v>«Рекомендация. ГСИ. Счетчики воды. Методика поверки» МИ 1592-2015</v>
      </c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5"/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95"/>
      <c r="BH39" s="95"/>
      <c r="BI39" s="95"/>
      <c r="BJ39" s="95"/>
      <c r="BK39" s="95"/>
      <c r="BL39" s="95"/>
      <c r="BM39" s="95"/>
      <c r="BN39" s="95"/>
      <c r="BO39" s="95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96" t="s">
        <v>33</v>
      </c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6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96"/>
      <c r="AV41" s="96"/>
      <c r="AW41" s="96"/>
      <c r="AX41" s="96"/>
      <c r="AY41" s="96"/>
      <c r="AZ41" s="96"/>
      <c r="BA41" s="96"/>
      <c r="BB41" s="96"/>
      <c r="BC41" s="96"/>
      <c r="BD41" s="96"/>
      <c r="BE41" s="96"/>
      <c r="BF41" s="96"/>
      <c r="BG41" s="96"/>
      <c r="BH41" s="96"/>
      <c r="BI41" s="96"/>
      <c r="BJ41" s="96"/>
      <c r="BK41" s="96"/>
      <c r="BL41" s="96"/>
      <c r="BM41" s="96"/>
      <c r="BN41" s="96"/>
      <c r="BO41" s="96"/>
      <c r="BP41" s="96"/>
      <c r="BQ41" s="96"/>
      <c r="BR41" s="96"/>
      <c r="BS41" s="96"/>
      <c r="BT41" s="96"/>
      <c r="BU41" s="96"/>
      <c r="BV41" s="96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06" t="s">
        <v>7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22" t="s">
        <v>3</v>
      </c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4"/>
      <c r="BV48" s="43"/>
      <c r="BW48" s="43"/>
      <c r="BX48" s="43"/>
    </row>
    <row r="49" spans="1:76" ht="13.5" customHeight="1" x14ac:dyDescent="0.3">
      <c r="A49" s="43"/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25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/>
      <c r="AX49" s="126"/>
      <c r="AY49" s="126"/>
      <c r="AZ49" s="126"/>
      <c r="BA49" s="126"/>
      <c r="BB49" s="126"/>
      <c r="BC49" s="126"/>
      <c r="BD49" s="126"/>
      <c r="BE49" s="126"/>
      <c r="BF49" s="126"/>
      <c r="BG49" s="126"/>
      <c r="BH49" s="126"/>
      <c r="BI49" s="126"/>
      <c r="BJ49" s="126"/>
      <c r="BK49" s="126"/>
      <c r="BL49" s="126"/>
      <c r="BM49" s="126"/>
      <c r="BN49" s="126"/>
      <c r="BO49" s="126"/>
      <c r="BP49" s="126"/>
      <c r="BQ49" s="126"/>
      <c r="BR49" s="126"/>
      <c r="BS49" s="126"/>
      <c r="BT49" s="126"/>
      <c r="BU49" s="127"/>
      <c r="BV49" s="43"/>
      <c r="BW49" s="43"/>
      <c r="BX49" s="43"/>
    </row>
    <row r="50" spans="1:76" ht="13.5" customHeight="1" x14ac:dyDescent="0.3">
      <c r="A50" s="43"/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57" t="s">
        <v>4</v>
      </c>
      <c r="W50" s="158"/>
      <c r="X50" s="158"/>
      <c r="Y50" s="158"/>
      <c r="Z50" s="158"/>
      <c r="AA50" s="158"/>
      <c r="AB50" s="159"/>
      <c r="AC50" s="89" t="s">
        <v>88</v>
      </c>
      <c r="AD50" s="89"/>
      <c r="AE50" s="89"/>
      <c r="AF50" s="89"/>
      <c r="AG50" s="89"/>
      <c r="AH50" s="89"/>
      <c r="AI50" s="89"/>
      <c r="AJ50" s="91" t="s">
        <v>72</v>
      </c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3"/>
      <c r="AW50" s="89" t="s">
        <v>90</v>
      </c>
      <c r="AX50" s="89"/>
      <c r="AY50" s="89"/>
      <c r="AZ50" s="89"/>
      <c r="BA50" s="89"/>
      <c r="BB50" s="89"/>
      <c r="BC50" s="89"/>
      <c r="BD50" s="89" t="s">
        <v>89</v>
      </c>
      <c r="BE50" s="89"/>
      <c r="BF50" s="89"/>
      <c r="BG50" s="89"/>
      <c r="BH50" s="89"/>
      <c r="BI50" s="89"/>
      <c r="BJ50" s="89"/>
      <c r="BK50" s="89" t="s">
        <v>5</v>
      </c>
      <c r="BL50" s="89"/>
      <c r="BM50" s="89"/>
      <c r="BN50" s="89"/>
      <c r="BO50" s="89"/>
      <c r="BP50" s="89"/>
      <c r="BQ50" s="97" t="s">
        <v>6</v>
      </c>
      <c r="BR50" s="98"/>
      <c r="BS50" s="98"/>
      <c r="BT50" s="98"/>
      <c r="BU50" s="99"/>
      <c r="BV50" s="43"/>
      <c r="BW50" s="43"/>
      <c r="BX50" s="43"/>
    </row>
    <row r="51" spans="1:76" s="60" customFormat="1" ht="10.5" customHeight="1" x14ac:dyDescent="0.3">
      <c r="A51" s="43"/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60"/>
      <c r="W51" s="161"/>
      <c r="X51" s="161"/>
      <c r="Y51" s="161"/>
      <c r="Z51" s="161"/>
      <c r="AA51" s="161"/>
      <c r="AB51" s="162"/>
      <c r="AC51" s="89"/>
      <c r="AD51" s="89"/>
      <c r="AE51" s="89"/>
      <c r="AF51" s="89"/>
      <c r="AG51" s="89"/>
      <c r="AH51" s="89"/>
      <c r="AI51" s="89"/>
      <c r="AJ51" s="157" t="s">
        <v>85</v>
      </c>
      <c r="AK51" s="158"/>
      <c r="AL51" s="158"/>
      <c r="AM51" s="158"/>
      <c r="AN51" s="158"/>
      <c r="AO51" s="158"/>
      <c r="AP51" s="159"/>
      <c r="AQ51" s="157" t="s">
        <v>86</v>
      </c>
      <c r="AR51" s="158"/>
      <c r="AS51" s="158"/>
      <c r="AT51" s="158"/>
      <c r="AU51" s="158"/>
      <c r="AV51" s="15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L51" s="89"/>
      <c r="BM51" s="89"/>
      <c r="BN51" s="89"/>
      <c r="BO51" s="89"/>
      <c r="BP51" s="89"/>
      <c r="BQ51" s="100"/>
      <c r="BR51" s="101"/>
      <c r="BS51" s="101"/>
      <c r="BT51" s="101"/>
      <c r="BU51" s="102"/>
      <c r="BV51" s="43"/>
      <c r="BW51" s="43"/>
      <c r="BX51" s="43"/>
    </row>
    <row r="52" spans="1:76" s="65" customFormat="1" ht="12.75" customHeight="1" x14ac:dyDescent="0.3">
      <c r="A52" s="82"/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63"/>
      <c r="W52" s="164"/>
      <c r="X52" s="164"/>
      <c r="Y52" s="164"/>
      <c r="Z52" s="164"/>
      <c r="AA52" s="164"/>
      <c r="AB52" s="165"/>
      <c r="AC52" s="89"/>
      <c r="AD52" s="89"/>
      <c r="AE52" s="89"/>
      <c r="AF52" s="89"/>
      <c r="AG52" s="89"/>
      <c r="AH52" s="89"/>
      <c r="AI52" s="89"/>
      <c r="AJ52" s="163"/>
      <c r="AK52" s="164"/>
      <c r="AL52" s="164"/>
      <c r="AM52" s="164"/>
      <c r="AN52" s="164"/>
      <c r="AO52" s="164"/>
      <c r="AP52" s="165"/>
      <c r="AQ52" s="163"/>
      <c r="AR52" s="164"/>
      <c r="AS52" s="164"/>
      <c r="AT52" s="164"/>
      <c r="AU52" s="164"/>
      <c r="AV52" s="165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L52" s="89"/>
      <c r="BM52" s="89"/>
      <c r="BN52" s="89"/>
      <c r="BO52" s="89"/>
      <c r="BP52" s="89"/>
      <c r="BQ52" s="103"/>
      <c r="BR52" s="104"/>
      <c r="BS52" s="104"/>
      <c r="BT52" s="104"/>
      <c r="BU52" s="105"/>
      <c r="BV52" s="82"/>
      <c r="BW52" s="82"/>
      <c r="BX52" s="82"/>
    </row>
    <row r="53" spans="1:76" ht="21.75" customHeight="1" x14ac:dyDescent="0.3">
      <c r="A53" s="43"/>
      <c r="B53" s="170" t="s">
        <v>73</v>
      </c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2"/>
      <c r="V53" s="134" t="s">
        <v>91</v>
      </c>
      <c r="W53" s="135"/>
      <c r="X53" s="135"/>
      <c r="Y53" s="135"/>
      <c r="Z53" s="135"/>
      <c r="AA53" s="135"/>
      <c r="AB53" s="136"/>
      <c r="AC53" s="143">
        <f ca="1">IF($V$53="В",ROUND(RANDBETWEEN(30,33)/1000,3),IF($V$53="А",ROUND(RANDBETWEEN(60,66)/1000,3),"буква"))</f>
        <v>3.2000000000000001E-2</v>
      </c>
      <c r="AD53" s="144"/>
      <c r="AE53" s="144"/>
      <c r="AF53" s="144"/>
      <c r="AG53" s="144"/>
      <c r="AH53" s="144"/>
      <c r="AI53" s="145"/>
      <c r="AJ53" s="188" t="str">
        <f>Данные!B5</f>
        <v>72,791</v>
      </c>
      <c r="AK53" s="149"/>
      <c r="AL53" s="149"/>
      <c r="AM53" s="149"/>
      <c r="AN53" s="149"/>
      <c r="AO53" s="149"/>
      <c r="AP53" s="150"/>
      <c r="AQ53" s="143">
        <f t="shared" ref="AQ53:AQ61" ca="1" si="0">AJ53+AW53</f>
        <v>72.798000000000002</v>
      </c>
      <c r="AR53" s="144"/>
      <c r="AS53" s="144"/>
      <c r="AT53" s="144"/>
      <c r="AU53" s="144"/>
      <c r="AV53" s="145"/>
      <c r="AW53" s="143">
        <f ca="1">ROUNDUP(AC53*720/3600,3)</f>
        <v>7.0000000000000001E-3</v>
      </c>
      <c r="AX53" s="144"/>
      <c r="AY53" s="144"/>
      <c r="AZ53" s="144"/>
      <c r="BA53" s="144"/>
      <c r="BB53" s="144"/>
      <c r="BC53" s="145"/>
      <c r="BD53" s="131">
        <f ca="1">AW53+RANDBETWEEN(-2,3)/10000</f>
        <v>7.3000000000000001E-3</v>
      </c>
      <c r="BE53" s="168"/>
      <c r="BF53" s="168"/>
      <c r="BG53" s="168"/>
      <c r="BH53" s="168"/>
      <c r="BI53" s="168"/>
      <c r="BJ53" s="169"/>
      <c r="BK53" s="146">
        <f t="shared" ref="BK53:BK55" ca="1" si="1">ROUND(((AW53-BD53)/BD53)*100,1)</f>
        <v>-4.0999999999999996</v>
      </c>
      <c r="BL53" s="147"/>
      <c r="BM53" s="147"/>
      <c r="BN53" s="147"/>
      <c r="BO53" s="147"/>
      <c r="BP53" s="148"/>
      <c r="BQ53" s="181" t="s">
        <v>69</v>
      </c>
      <c r="BR53" s="98"/>
      <c r="BS53" s="98"/>
      <c r="BT53" s="193">
        <v>5</v>
      </c>
      <c r="BU53" s="99"/>
      <c r="BV53" s="43"/>
      <c r="BW53" s="43"/>
      <c r="BX53" s="43"/>
    </row>
    <row r="54" spans="1:76" ht="20.25" customHeight="1" x14ac:dyDescent="0.3">
      <c r="A54" s="43"/>
      <c r="B54" s="173"/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/>
      <c r="R54" s="174"/>
      <c r="S54" s="174"/>
      <c r="T54" s="174"/>
      <c r="U54" s="175"/>
      <c r="V54" s="137"/>
      <c r="W54" s="138"/>
      <c r="X54" s="138"/>
      <c r="Y54" s="138"/>
      <c r="Z54" s="138"/>
      <c r="AA54" s="138"/>
      <c r="AB54" s="139"/>
      <c r="AC54" s="143">
        <f ca="1">IF($V$53="В",ROUND(RANDBETWEEN(30,33)/1000,3),IF($V$53="А",ROUND(RANDBETWEEN(60,66)/1000,3),"буква"))</f>
        <v>3.1E-2</v>
      </c>
      <c r="AD54" s="144"/>
      <c r="AE54" s="144"/>
      <c r="AF54" s="144"/>
      <c r="AG54" s="144"/>
      <c r="AH54" s="144"/>
      <c r="AI54" s="145"/>
      <c r="AJ54" s="143">
        <f ca="1">AQ53+RANDBETWEEN(1,3)/1000</f>
        <v>72.8</v>
      </c>
      <c r="AK54" s="144"/>
      <c r="AL54" s="144"/>
      <c r="AM54" s="144"/>
      <c r="AN54" s="144"/>
      <c r="AO54" s="144"/>
      <c r="AP54" s="145"/>
      <c r="AQ54" s="143">
        <f t="shared" ca="1" si="0"/>
        <v>72.807000000000002</v>
      </c>
      <c r="AR54" s="144"/>
      <c r="AS54" s="144"/>
      <c r="AT54" s="144"/>
      <c r="AU54" s="144"/>
      <c r="AV54" s="145"/>
      <c r="AW54" s="143">
        <f ca="1">ROUNDUP(AC54*720/3600,3)</f>
        <v>7.0000000000000001E-3</v>
      </c>
      <c r="AX54" s="144"/>
      <c r="AY54" s="144"/>
      <c r="AZ54" s="144"/>
      <c r="BA54" s="144"/>
      <c r="BB54" s="144"/>
      <c r="BC54" s="145"/>
      <c r="BD54" s="131">
        <f ca="1">AW54+RANDBETWEEN(-2,3)/10000</f>
        <v>6.8999999999999999E-3</v>
      </c>
      <c r="BE54" s="168"/>
      <c r="BF54" s="168"/>
      <c r="BG54" s="168"/>
      <c r="BH54" s="168"/>
      <c r="BI54" s="168"/>
      <c r="BJ54" s="169"/>
      <c r="BK54" s="146">
        <f t="shared" ca="1" si="1"/>
        <v>1.4</v>
      </c>
      <c r="BL54" s="147"/>
      <c r="BM54" s="147"/>
      <c r="BN54" s="147"/>
      <c r="BO54" s="147"/>
      <c r="BP54" s="148"/>
      <c r="BQ54" s="182"/>
      <c r="BR54" s="183"/>
      <c r="BS54" s="183"/>
      <c r="BT54" s="183"/>
      <c r="BU54" s="102"/>
      <c r="BV54" s="43"/>
      <c r="BW54" s="43"/>
      <c r="BX54" s="43"/>
    </row>
    <row r="55" spans="1:76" ht="18" customHeight="1" x14ac:dyDescent="0.3">
      <c r="A55" s="43"/>
      <c r="B55" s="176"/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8"/>
      <c r="V55" s="137"/>
      <c r="W55" s="138"/>
      <c r="X55" s="138"/>
      <c r="Y55" s="138"/>
      <c r="Z55" s="138"/>
      <c r="AA55" s="138"/>
      <c r="AB55" s="139"/>
      <c r="AC55" s="143">
        <f t="shared" ref="AC55" ca="1" si="2">IF($V$53="В",ROUND(RANDBETWEEN(30,33)/1000,3),IF($V$53="А",ROUND(RANDBETWEEN(60,66)/1000,3),"буква"))</f>
        <v>3.2000000000000001E-2</v>
      </c>
      <c r="AD55" s="144"/>
      <c r="AE55" s="144"/>
      <c r="AF55" s="144"/>
      <c r="AG55" s="144"/>
      <c r="AH55" s="144"/>
      <c r="AI55" s="145"/>
      <c r="AJ55" s="188">
        <f ca="1">AQ54+RANDBETWEEN(1,3)/1000</f>
        <v>72.808999999999997</v>
      </c>
      <c r="AK55" s="149"/>
      <c r="AL55" s="149"/>
      <c r="AM55" s="149"/>
      <c r="AN55" s="149"/>
      <c r="AO55" s="149"/>
      <c r="AP55" s="150"/>
      <c r="AQ55" s="143">
        <f t="shared" ca="1" si="0"/>
        <v>72.816000000000003</v>
      </c>
      <c r="AR55" s="144"/>
      <c r="AS55" s="144"/>
      <c r="AT55" s="144"/>
      <c r="AU55" s="144"/>
      <c r="AV55" s="145"/>
      <c r="AW55" s="143">
        <f t="shared" ref="AW55" ca="1" si="3">ROUNDUP(AC55*720/3600,3)</f>
        <v>7.0000000000000001E-3</v>
      </c>
      <c r="AX55" s="144"/>
      <c r="AY55" s="144"/>
      <c r="AZ55" s="144"/>
      <c r="BA55" s="144"/>
      <c r="BB55" s="144"/>
      <c r="BC55" s="145"/>
      <c r="BD55" s="131">
        <f ca="1">AW55+RANDBETWEEN(-2,3)/10000</f>
        <v>6.8000000000000005E-3</v>
      </c>
      <c r="BE55" s="168"/>
      <c r="BF55" s="168"/>
      <c r="BG55" s="168"/>
      <c r="BH55" s="168"/>
      <c r="BI55" s="168"/>
      <c r="BJ55" s="169"/>
      <c r="BK55" s="146">
        <f t="shared" ca="1" si="1"/>
        <v>2.9</v>
      </c>
      <c r="BL55" s="147"/>
      <c r="BM55" s="147"/>
      <c r="BN55" s="147"/>
      <c r="BO55" s="147"/>
      <c r="BP55" s="148"/>
      <c r="BQ55" s="103"/>
      <c r="BR55" s="104"/>
      <c r="BS55" s="104"/>
      <c r="BT55" s="104"/>
      <c r="BU55" s="105"/>
      <c r="BV55" s="43"/>
      <c r="BW55" s="43"/>
      <c r="BX55" s="43"/>
    </row>
    <row r="56" spans="1:76" s="60" customFormat="1" ht="18" customHeight="1" x14ac:dyDescent="0.3">
      <c r="A56" s="43"/>
      <c r="B56" s="170" t="s">
        <v>220</v>
      </c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2"/>
      <c r="V56" s="137"/>
      <c r="W56" s="138"/>
      <c r="X56" s="138"/>
      <c r="Y56" s="138"/>
      <c r="Z56" s="138"/>
      <c r="AA56" s="138"/>
      <c r="AB56" s="139"/>
      <c r="AC56" s="143">
        <f ca="1">IF($V$53="А",ROUND(RANDBETWEEN(155,175)/1000,3),IF($V$53="В",ROUND(RANDBETWEEN(125,135)/1000,3),"буква"))</f>
        <v>0.129</v>
      </c>
      <c r="AD56" s="144"/>
      <c r="AE56" s="144"/>
      <c r="AF56" s="144"/>
      <c r="AG56" s="144"/>
      <c r="AH56" s="144"/>
      <c r="AI56" s="145"/>
      <c r="AJ56" s="128">
        <f ca="1">AQ55+RANDBETWEEN(4,7)/1000</f>
        <v>72.820999999999998</v>
      </c>
      <c r="AK56" s="149"/>
      <c r="AL56" s="149"/>
      <c r="AM56" s="149"/>
      <c r="AN56" s="149"/>
      <c r="AO56" s="149"/>
      <c r="AP56" s="150"/>
      <c r="AQ56" s="143">
        <f t="shared" ca="1" si="0"/>
        <v>72.834000000000003</v>
      </c>
      <c r="AR56" s="144"/>
      <c r="AS56" s="144"/>
      <c r="AT56" s="144"/>
      <c r="AU56" s="144"/>
      <c r="AV56" s="145"/>
      <c r="AW56" s="143">
        <f ca="1">ROUNDUP(AC56*360/3600,3)</f>
        <v>1.3000000000000001E-2</v>
      </c>
      <c r="AX56" s="144"/>
      <c r="AY56" s="144"/>
      <c r="AZ56" s="144"/>
      <c r="BA56" s="144"/>
      <c r="BB56" s="144"/>
      <c r="BC56" s="145"/>
      <c r="BD56" s="131">
        <f ca="1">AW56+RANDBETWEEN(-2,2)/10000</f>
        <v>1.3200000000000002E-2</v>
      </c>
      <c r="BE56" s="168"/>
      <c r="BF56" s="168"/>
      <c r="BG56" s="168"/>
      <c r="BH56" s="168"/>
      <c r="BI56" s="168"/>
      <c r="BJ56" s="169"/>
      <c r="BK56" s="146">
        <f ca="1">ROUND(((AW56-BD56)/BD56)*100,1)</f>
        <v>-1.5</v>
      </c>
      <c r="BL56" s="147"/>
      <c r="BM56" s="147"/>
      <c r="BN56" s="147"/>
      <c r="BO56" s="147"/>
      <c r="BP56" s="148"/>
      <c r="BQ56" s="181" t="s">
        <v>69</v>
      </c>
      <c r="BR56" s="98"/>
      <c r="BS56" s="98"/>
      <c r="BT56" s="193">
        <v>2</v>
      </c>
      <c r="BU56" s="99"/>
      <c r="BV56" s="43"/>
      <c r="BW56" s="43"/>
      <c r="BX56" s="43"/>
    </row>
    <row r="57" spans="1:76" s="60" customFormat="1" ht="18" customHeight="1" x14ac:dyDescent="0.3">
      <c r="A57" s="43"/>
      <c r="B57" s="173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  <c r="V57" s="137"/>
      <c r="W57" s="138"/>
      <c r="X57" s="138"/>
      <c r="Y57" s="138"/>
      <c r="Z57" s="138"/>
      <c r="AA57" s="138"/>
      <c r="AB57" s="139"/>
      <c r="AC57" s="143">
        <f ca="1">IF($V$53="А",ROUND(RANDBETWEEN(155,175)/1000,3),IF($V$53="В",ROUND(RANDBETWEEN(125,135)/1000,3),"буква"))</f>
        <v>0.126</v>
      </c>
      <c r="AD57" s="144"/>
      <c r="AE57" s="144"/>
      <c r="AF57" s="144"/>
      <c r="AG57" s="144"/>
      <c r="AH57" s="144"/>
      <c r="AI57" s="145"/>
      <c r="AJ57" s="128">
        <f t="shared" ref="AJ57:AJ58" ca="1" si="4">AQ56+RANDBETWEEN(4,7)/1000</f>
        <v>72.838999999999999</v>
      </c>
      <c r="AK57" s="149"/>
      <c r="AL57" s="149"/>
      <c r="AM57" s="149"/>
      <c r="AN57" s="149"/>
      <c r="AO57" s="149"/>
      <c r="AP57" s="150"/>
      <c r="AQ57" s="143">
        <f t="shared" ca="1" si="0"/>
        <v>72.852000000000004</v>
      </c>
      <c r="AR57" s="144"/>
      <c r="AS57" s="144"/>
      <c r="AT57" s="144"/>
      <c r="AU57" s="144"/>
      <c r="AV57" s="145"/>
      <c r="AW57" s="143">
        <f ca="1">ROUNDUP(AC57*360/3600,3)</f>
        <v>1.3000000000000001E-2</v>
      </c>
      <c r="AX57" s="144"/>
      <c r="AY57" s="144"/>
      <c r="AZ57" s="144"/>
      <c r="BA57" s="144"/>
      <c r="BB57" s="144"/>
      <c r="BC57" s="145"/>
      <c r="BD57" s="131">
        <f ca="1">AW57+RANDBETWEEN(-2,2)/10000</f>
        <v>1.3100000000000001E-2</v>
      </c>
      <c r="BE57" s="168"/>
      <c r="BF57" s="168"/>
      <c r="BG57" s="168"/>
      <c r="BH57" s="168"/>
      <c r="BI57" s="168"/>
      <c r="BJ57" s="169"/>
      <c r="BK57" s="146">
        <f t="shared" ref="BK57:BK58" ca="1" si="5">ROUND(((AW57-BD57)/BD57)*100,1)</f>
        <v>-0.8</v>
      </c>
      <c r="BL57" s="147"/>
      <c r="BM57" s="147"/>
      <c r="BN57" s="147"/>
      <c r="BO57" s="147"/>
      <c r="BP57" s="148"/>
      <c r="BQ57" s="182"/>
      <c r="BR57" s="183"/>
      <c r="BS57" s="183"/>
      <c r="BT57" s="183"/>
      <c r="BU57" s="102"/>
      <c r="BV57" s="43"/>
      <c r="BW57" s="43"/>
      <c r="BX57" s="43"/>
    </row>
    <row r="58" spans="1:76" s="60" customFormat="1" ht="18" customHeight="1" x14ac:dyDescent="0.3">
      <c r="A58" s="43"/>
      <c r="B58" s="176"/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8"/>
      <c r="V58" s="137"/>
      <c r="W58" s="138"/>
      <c r="X58" s="138"/>
      <c r="Y58" s="138"/>
      <c r="Z58" s="138"/>
      <c r="AA58" s="138"/>
      <c r="AB58" s="139"/>
      <c r="AC58" s="143">
        <f ca="1">IF($V$53="А",ROUND(RANDBETWEEN(155,175)/1000,3),IF($V$53="В",ROUND(RANDBETWEEN(125,135)/1000,3),"буква"))</f>
        <v>0.126</v>
      </c>
      <c r="AD58" s="144"/>
      <c r="AE58" s="144"/>
      <c r="AF58" s="144"/>
      <c r="AG58" s="144"/>
      <c r="AH58" s="144"/>
      <c r="AI58" s="145"/>
      <c r="AJ58" s="128">
        <f t="shared" ca="1" si="4"/>
        <v>72.856000000000009</v>
      </c>
      <c r="AK58" s="149"/>
      <c r="AL58" s="149"/>
      <c r="AM58" s="149"/>
      <c r="AN58" s="149"/>
      <c r="AO58" s="149"/>
      <c r="AP58" s="150"/>
      <c r="AQ58" s="143">
        <f t="shared" ca="1" si="0"/>
        <v>72.869000000000014</v>
      </c>
      <c r="AR58" s="144"/>
      <c r="AS58" s="144"/>
      <c r="AT58" s="144"/>
      <c r="AU58" s="144"/>
      <c r="AV58" s="145"/>
      <c r="AW58" s="143">
        <f ca="1">ROUNDUP(AC58*360/3600,3)</f>
        <v>1.3000000000000001E-2</v>
      </c>
      <c r="AX58" s="144"/>
      <c r="AY58" s="144"/>
      <c r="AZ58" s="144"/>
      <c r="BA58" s="144"/>
      <c r="BB58" s="144"/>
      <c r="BC58" s="145"/>
      <c r="BD58" s="131">
        <f ca="1">AW58+RANDBETWEEN(-2,2)/10000</f>
        <v>1.3000000000000001E-2</v>
      </c>
      <c r="BE58" s="168"/>
      <c r="BF58" s="168"/>
      <c r="BG58" s="168"/>
      <c r="BH58" s="168"/>
      <c r="BI58" s="168"/>
      <c r="BJ58" s="169"/>
      <c r="BK58" s="146">
        <f t="shared" ca="1" si="5"/>
        <v>0</v>
      </c>
      <c r="BL58" s="147"/>
      <c r="BM58" s="147"/>
      <c r="BN58" s="147"/>
      <c r="BO58" s="147"/>
      <c r="BP58" s="148"/>
      <c r="BQ58" s="103"/>
      <c r="BR58" s="104"/>
      <c r="BS58" s="104"/>
      <c r="BT58" s="104"/>
      <c r="BU58" s="105"/>
      <c r="BV58" s="43"/>
      <c r="BW58" s="43"/>
      <c r="BX58" s="43"/>
    </row>
    <row r="59" spans="1:76" s="60" customFormat="1" ht="18" customHeight="1" x14ac:dyDescent="0.3">
      <c r="A59" s="43"/>
      <c r="B59" s="170" t="s">
        <v>74</v>
      </c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2"/>
      <c r="V59" s="137"/>
      <c r="W59" s="138"/>
      <c r="X59" s="138"/>
      <c r="Y59" s="138"/>
      <c r="Z59" s="138"/>
      <c r="AA59" s="138"/>
      <c r="AB59" s="139"/>
      <c r="AC59" s="128">
        <f ca="1">ROUND(RANDBETWEEN(890,960)/1000,3)</f>
        <v>0.95399999999999996</v>
      </c>
      <c r="AD59" s="129"/>
      <c r="AE59" s="129"/>
      <c r="AF59" s="129"/>
      <c r="AG59" s="129"/>
      <c r="AH59" s="129"/>
      <c r="AI59" s="130"/>
      <c r="AJ59" s="153">
        <f ca="1">AQ58+RANDBETWEEN(15,18)/1000</f>
        <v>72.88600000000001</v>
      </c>
      <c r="AK59" s="154"/>
      <c r="AL59" s="154"/>
      <c r="AM59" s="154"/>
      <c r="AN59" s="154"/>
      <c r="AO59" s="154"/>
      <c r="AP59" s="155"/>
      <c r="AQ59" s="189">
        <f ca="1">AJ59+AW59</f>
        <v>72.918000000000006</v>
      </c>
      <c r="AR59" s="190"/>
      <c r="AS59" s="190"/>
      <c r="AT59" s="190"/>
      <c r="AU59" s="190"/>
      <c r="AV59" s="191"/>
      <c r="AW59" s="143">
        <f ca="1">ROUNDUP(AC59*120/3600,3)</f>
        <v>3.2000000000000001E-2</v>
      </c>
      <c r="AX59" s="151"/>
      <c r="AY59" s="151"/>
      <c r="AZ59" s="151"/>
      <c r="BA59" s="151"/>
      <c r="BB59" s="151"/>
      <c r="BC59" s="152"/>
      <c r="BD59" s="131">
        <f ca="1">AW59+RANDBETWEEN(-5,5)/10000</f>
        <v>3.2000000000000001E-2</v>
      </c>
      <c r="BE59" s="132"/>
      <c r="BF59" s="132"/>
      <c r="BG59" s="132"/>
      <c r="BH59" s="132"/>
      <c r="BI59" s="132"/>
      <c r="BJ59" s="133"/>
      <c r="BK59" s="146">
        <f ca="1">ROUND(((AW59-BD59)/BD59)*100,1)</f>
        <v>0</v>
      </c>
      <c r="BL59" s="179"/>
      <c r="BM59" s="179"/>
      <c r="BN59" s="179"/>
      <c r="BO59" s="179"/>
      <c r="BP59" s="180"/>
      <c r="BQ59" s="181" t="s">
        <v>69</v>
      </c>
      <c r="BR59" s="98"/>
      <c r="BS59" s="98"/>
      <c r="BT59" s="193">
        <v>2</v>
      </c>
      <c r="BU59" s="99"/>
      <c r="BV59" s="43"/>
      <c r="BW59" s="43"/>
      <c r="BX59" s="43"/>
    </row>
    <row r="60" spans="1:76" s="60" customFormat="1" ht="18" customHeight="1" x14ac:dyDescent="0.3">
      <c r="A60" s="43"/>
      <c r="B60" s="173"/>
      <c r="C60" s="174"/>
      <c r="D60" s="174"/>
      <c r="E60" s="174"/>
      <c r="F60" s="174"/>
      <c r="G60" s="174"/>
      <c r="H60" s="174"/>
      <c r="I60" s="174"/>
      <c r="J60" s="174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5"/>
      <c r="V60" s="137"/>
      <c r="W60" s="138"/>
      <c r="X60" s="138"/>
      <c r="Y60" s="138"/>
      <c r="Z60" s="138"/>
      <c r="AA60" s="138"/>
      <c r="AB60" s="139"/>
      <c r="AC60" s="128">
        <f ca="1">ROUND(RANDBETWEEN(890,960)/1000,3)</f>
        <v>0.93100000000000005</v>
      </c>
      <c r="AD60" s="129"/>
      <c r="AE60" s="129"/>
      <c r="AF60" s="129"/>
      <c r="AG60" s="129"/>
      <c r="AH60" s="129"/>
      <c r="AI60" s="130"/>
      <c r="AJ60" s="128">
        <f t="shared" ref="AJ60" ca="1" si="6">AQ59+RANDBETWEEN(15,18)/1000</f>
        <v>72.936000000000007</v>
      </c>
      <c r="AK60" s="149"/>
      <c r="AL60" s="149"/>
      <c r="AM60" s="149"/>
      <c r="AN60" s="149"/>
      <c r="AO60" s="149"/>
      <c r="AP60" s="150"/>
      <c r="AQ60" s="143">
        <f t="shared" ca="1" si="0"/>
        <v>72.968000000000004</v>
      </c>
      <c r="AR60" s="144"/>
      <c r="AS60" s="144"/>
      <c r="AT60" s="144"/>
      <c r="AU60" s="144"/>
      <c r="AV60" s="145"/>
      <c r="AW60" s="143">
        <f t="shared" ref="AW60:AW61" ca="1" si="7">ROUNDUP(AC60*120/3600,3)</f>
        <v>3.2000000000000001E-2</v>
      </c>
      <c r="AX60" s="151"/>
      <c r="AY60" s="151"/>
      <c r="AZ60" s="151"/>
      <c r="BA60" s="151"/>
      <c r="BB60" s="151"/>
      <c r="BC60" s="152"/>
      <c r="BD60" s="131">
        <f ca="1">AW60+RANDBETWEEN(-5,5)/10000</f>
        <v>3.2399999999999998E-2</v>
      </c>
      <c r="BE60" s="132"/>
      <c r="BF60" s="132"/>
      <c r="BG60" s="132"/>
      <c r="BH60" s="132"/>
      <c r="BI60" s="132"/>
      <c r="BJ60" s="133"/>
      <c r="BK60" s="146">
        <f ca="1">ROUND(((AW60-BD60)/BD60)*100,1)</f>
        <v>-1.2</v>
      </c>
      <c r="BL60" s="179"/>
      <c r="BM60" s="179"/>
      <c r="BN60" s="179"/>
      <c r="BO60" s="179"/>
      <c r="BP60" s="180"/>
      <c r="BQ60" s="182"/>
      <c r="BR60" s="183"/>
      <c r="BS60" s="183"/>
      <c r="BT60" s="183"/>
      <c r="BU60" s="102"/>
      <c r="BV60" s="43"/>
      <c r="BW60" s="43"/>
      <c r="BX60" s="43"/>
    </row>
    <row r="61" spans="1:76" s="60" customFormat="1" ht="18" customHeight="1" x14ac:dyDescent="0.3">
      <c r="A61" s="43"/>
      <c r="B61" s="176"/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7"/>
      <c r="S61" s="177"/>
      <c r="T61" s="177"/>
      <c r="U61" s="178"/>
      <c r="V61" s="140"/>
      <c r="W61" s="141"/>
      <c r="X61" s="141"/>
      <c r="Y61" s="141"/>
      <c r="Z61" s="141"/>
      <c r="AA61" s="141"/>
      <c r="AB61" s="142"/>
      <c r="AC61" s="128">
        <f ca="1">ROUND(RANDBETWEEN(890,960)/1000,3)</f>
        <v>0.94599999999999995</v>
      </c>
      <c r="AD61" s="129"/>
      <c r="AE61" s="129"/>
      <c r="AF61" s="129"/>
      <c r="AG61" s="129"/>
      <c r="AH61" s="129"/>
      <c r="AI61" s="130"/>
      <c r="AJ61" s="91">
        <f ca="1">AQ60+RANDBETWEEN(15,18)/1000</f>
        <v>72.984999999999999</v>
      </c>
      <c r="AK61" s="92"/>
      <c r="AL61" s="92"/>
      <c r="AM61" s="92"/>
      <c r="AN61" s="92"/>
      <c r="AO61" s="92"/>
      <c r="AP61" s="93"/>
      <c r="AQ61" s="192">
        <f t="shared" ca="1" si="0"/>
        <v>73.016999999999996</v>
      </c>
      <c r="AR61" s="151"/>
      <c r="AS61" s="151"/>
      <c r="AT61" s="151"/>
      <c r="AU61" s="151"/>
      <c r="AV61" s="152"/>
      <c r="AW61" s="143">
        <f t="shared" ca="1" si="7"/>
        <v>3.2000000000000001E-2</v>
      </c>
      <c r="AX61" s="151"/>
      <c r="AY61" s="151"/>
      <c r="AZ61" s="151"/>
      <c r="BA61" s="151"/>
      <c r="BB61" s="151"/>
      <c r="BC61" s="152"/>
      <c r="BD61" s="131">
        <f ca="1">AW61+RANDBETWEEN(-5,5)/10000</f>
        <v>3.1600000000000003E-2</v>
      </c>
      <c r="BE61" s="132"/>
      <c r="BF61" s="132"/>
      <c r="BG61" s="132"/>
      <c r="BH61" s="132"/>
      <c r="BI61" s="132"/>
      <c r="BJ61" s="133"/>
      <c r="BK61" s="146">
        <f ca="1">ROUND(((AW61-BD61)/BD61)*100,1)</f>
        <v>1.3</v>
      </c>
      <c r="BL61" s="179"/>
      <c r="BM61" s="179"/>
      <c r="BN61" s="179"/>
      <c r="BO61" s="179"/>
      <c r="BP61" s="180"/>
      <c r="BQ61" s="103"/>
      <c r="BR61" s="104"/>
      <c r="BS61" s="104"/>
      <c r="BT61" s="104"/>
      <c r="BU61" s="10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85" t="s">
        <v>8</v>
      </c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  <c r="AI64" s="185"/>
      <c r="AJ64" s="185"/>
      <c r="AK64" s="185"/>
      <c r="AL64" s="185"/>
      <c r="AM64" s="185"/>
      <c r="AN64" s="185"/>
      <c r="AO64" s="185"/>
      <c r="AP64" s="185"/>
      <c r="AQ64" s="185"/>
      <c r="AR64" s="185"/>
      <c r="AS64" s="185"/>
      <c r="AT64" s="185"/>
      <c r="AU64" s="185"/>
      <c r="AV64" s="185"/>
      <c r="AW64" s="185"/>
      <c r="AX64" s="185"/>
      <c r="AY64" s="185"/>
      <c r="AZ64" s="185"/>
      <c r="BA64" s="185"/>
      <c r="BB64" s="185"/>
      <c r="BC64" s="185"/>
      <c r="BD64" s="185"/>
      <c r="BE64" s="185"/>
      <c r="BF64" s="185"/>
      <c r="BG64" s="185"/>
      <c r="BH64" s="185"/>
      <c r="BI64" s="185"/>
      <c r="BJ64" s="185"/>
      <c r="BK64" s="185"/>
      <c r="BL64" s="185"/>
      <c r="BM64" s="185"/>
      <c r="BN64" s="185"/>
      <c r="BO64" s="185"/>
      <c r="BP64" s="185"/>
      <c r="BQ64" s="185"/>
      <c r="BR64" s="185"/>
      <c r="BS64" s="185"/>
      <c r="BT64" s="18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66" t="s">
        <v>229</v>
      </c>
      <c r="B66" s="167"/>
      <c r="C66" s="167"/>
      <c r="D66" s="167"/>
      <c r="E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  <c r="AV66" s="167"/>
      <c r="AW66" s="167"/>
      <c r="AX66" s="167"/>
      <c r="AY66" s="167"/>
      <c r="AZ66" s="167"/>
      <c r="BA66" s="167"/>
      <c r="BB66" s="167"/>
      <c r="BC66" s="167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P66" s="167"/>
      <c r="BQ66" s="167"/>
      <c r="BR66" s="167"/>
      <c r="BS66" s="167"/>
      <c r="BT66" s="167"/>
      <c r="BU66" s="167"/>
      <c r="BV66" s="167"/>
      <c r="BW66" s="43"/>
      <c r="BX66" s="43"/>
    </row>
    <row r="67" spans="1:76" ht="19.5" customHeight="1" x14ac:dyDescent="0.3">
      <c r="A67" s="167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  <c r="AM67" s="167"/>
      <c r="AN67" s="167"/>
      <c r="AO67" s="167"/>
      <c r="AP67" s="167"/>
      <c r="AQ67" s="167"/>
      <c r="AR67" s="167"/>
      <c r="AS67" s="167"/>
      <c r="AT67" s="167"/>
      <c r="AU67" s="167"/>
      <c r="AV67" s="167"/>
      <c r="AW67" s="167"/>
      <c r="AX67" s="167"/>
      <c r="AY67" s="167"/>
      <c r="AZ67" s="167"/>
      <c r="BA67" s="167"/>
      <c r="BB67" s="167"/>
      <c r="BC67" s="167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P67" s="167"/>
      <c r="BQ67" s="167"/>
      <c r="BR67" s="167"/>
      <c r="BS67" s="167"/>
      <c r="BT67" s="167"/>
      <c r="BU67" s="167"/>
      <c r="BV67" s="167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87" t="str">
        <f>Данные!C8</f>
        <v>Стариков С.В.</v>
      </c>
      <c r="W69" s="187"/>
      <c r="X69" s="187"/>
      <c r="Y69" s="187"/>
      <c r="Z69" s="187"/>
      <c r="AA69" s="187"/>
      <c r="AB69" s="187"/>
      <c r="AC69" s="187"/>
      <c r="AD69" s="187"/>
      <c r="AE69" s="187"/>
      <c r="AF69" s="187"/>
      <c r="AG69" s="187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86">
        <f>Данные!B9</f>
        <v>45947</v>
      </c>
      <c r="BC69" s="186"/>
      <c r="BD69" s="186"/>
      <c r="BE69" s="186"/>
      <c r="BF69" s="186"/>
      <c r="BG69" s="186"/>
      <c r="BH69" s="186"/>
      <c r="BI69" s="186"/>
      <c r="BJ69" s="186"/>
      <c r="BK69" s="186"/>
      <c r="BL69" s="186"/>
      <c r="BM69" s="186"/>
      <c r="BN69" s="186"/>
      <c r="BO69" s="186"/>
      <c r="BP69" s="186"/>
      <c r="BQ69" s="186"/>
      <c r="BR69" s="186"/>
      <c r="BS69" s="186"/>
      <c r="BT69" s="186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84" t="s">
        <v>10</v>
      </c>
      <c r="J70" s="184"/>
      <c r="K70" s="184"/>
      <c r="L70" s="184"/>
      <c r="M70" s="184"/>
      <c r="N70" s="184"/>
      <c r="O70" s="184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56"/>
      <c r="Y72" s="156"/>
      <c r="Z72" s="156"/>
      <c r="AA72" s="156"/>
      <c r="AB72" s="156"/>
      <c r="AC72" s="156"/>
      <c r="AD72" s="156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114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268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269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270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267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45947</v>
      </c>
      <c r="C9" s="13"/>
      <c r="D9" s="13"/>
      <c r="E9" s="13"/>
    </row>
    <row r="10" spans="1:21" ht="18" x14ac:dyDescent="0.35">
      <c r="A10" s="11" t="s">
        <v>15</v>
      </c>
      <c r="B10" s="76">
        <v>25.3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58.3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104.8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6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6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45951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41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" priority="1">
      <formula>$B$9&lt;$A$16</formula>
    </cfRule>
    <cfRule type="expression" dxfId="0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2025-10-21T06:11:36Z</cp:lastPrinted>
  <dcterms:created xsi:type="dcterms:W3CDTF">2015-01-22T18:16:29Z</dcterms:created>
  <dcterms:modified xsi:type="dcterms:W3CDTF">2025-10-21T06:14:05Z</dcterms:modified>
</cp:coreProperties>
</file>