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8D757ED7-DB06-47DC-B7FD-7235FFD000D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<sst xmlns="http://schemas.openxmlformats.org/spreadsheetml/2006/main" count="505" uniqueCount="273">
  <si>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</si>
  <si>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</si>
  <si>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</si>
  <si>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</si>
  <si>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</si>
  <si>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</si>
  <si>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</si>
  <si>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</si>
  <si>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</si>
  <si>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</si>
  <si>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</si>
  <si>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</si>
  <si>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</si>
  <si>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</si>
  <si>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</si>
  <si>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</si>
  <si>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</si>
  <si>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</si>
  <si>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</si>
  <si>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</si>
  <si>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</si>
  <si>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</si>
  <si>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</si>
  <si>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</si>
  <si>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</si>
  <si>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</si>
  <si>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</si>
  <si>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</si>
  <si>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</si>
  <si>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</si>
  <si>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</si>
  <si>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</si>
  <si>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</si>
  <si>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</si>
  <si>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</si>
  <si>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</si>
  <si>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</si>
  <si>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</si>
  <si>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</si>
  <si>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</si>
  <si>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</si>
  <si>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</si>
  <si>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</si>
  <si>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</si>
  <si>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</si>
  <si>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</si>
  <si>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</si>
  <si>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</si>
  <si>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</si>
  <si>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</si>
  <si>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</si>
  <si>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</si>
  <si>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</si>
  <si>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</si>
  <si>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</si>
  <si>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</si>
  <si>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</si>
  <si>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</si>
  <si>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</si>
  <si>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</si>
  <si>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</si>
  <si>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</si>
  <si>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</si>
  <si>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</si>
  <si>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</si>
  <si>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</si>
  <si>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</si>
  <si>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</si>
  <si>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</si>
  <si>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</si>
  <si>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</si>
  <si>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</si>
  <si>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</si>
  <si>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</si>
  <si>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</si>
  <si>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</si>
  <si>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</si>
  <si>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</si>
  <si>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</si>
  <si>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</si>
  <si>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</si>
  <si>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</si>
  <si>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</si>
  <si>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</si>
  <si>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</si>
  <si>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</si>
  <si>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</si>
  <si>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</si>
  <si>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</si>
  <si>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</si>
  <si>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</si>
  <si>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</si>
  <si>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</si>
  <si>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</si>
  <si>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</si>
  <si>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</si>
  <si>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</si>
  <si>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</si>
  <si>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</si>
  <si>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</si>
  <si>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</si>
  <si>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</si>
  <si>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</si>
  <si>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</si>
  <si>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</si>
  <si>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</si>
  <si>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</si>
  <si>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</si>
  <si>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</si>
  <si>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</si>
  <si>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</si>
  <si>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</si>
  <si>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</si>
  <si>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</si>
  <si>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</si>
  <si>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</si>
  <si>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</si>
  <si>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</si>
  <si>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</si>
  <si>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</si>
  <si>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</si>
  <si>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</si>
  <si>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</si>
  <si>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</si>
  <si>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</si>
  <si>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</si>
  <si>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</si>
  <si>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</si>
  <si>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</si>
  <si>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</si>
  <si>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</si>
  <si>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</si>
  <si>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</si>
  <si>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</si>
  <si>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</si>
  <si>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</si>
  <si>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</si>
  <si>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</si>
  <si>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</si>
  <si>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</si>
  <si>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</si>
  <si>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</si>
  <si>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</si>
  <si>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</si>
  <si>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</si>
  <si>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</si>
  <si>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</si>
  <si>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</si>
  <si>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</si>
  <si>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</si>
  <si>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</si>
  <si>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</si>
  <si>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</si>
  <si>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</si>
  <si>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</si>
  <si>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</si>
  <si>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</si>
  <si>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</si>
  <si>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</si>
  <si>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</si>
  <si>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</si>
  <si>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</si>
  <si>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</si>
  <si>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</si>
  <si>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</si>
  <si>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</si>
  <si>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</si>
  <si>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</si>
  <si>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</si>
  <si>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</si>
  <si>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</si>
  <si>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</si>
  <si>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</si>
  <si>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</si>
  <si>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</si>
  <si>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</si>
  <si>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</si>
  <si>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</si>
  <si>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</si>
  <si>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</si>
  <si>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</si>
  <si>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</si>
  <si>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</si>
  <si>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</si>
  <si>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</si>
  <si>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</si>
  <si>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</si>
  <si>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</si>
  <si>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</si>
  <si>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</si>
  <si>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</si>
  <si>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</si>
  <si>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</si>
  <si>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</si>
  <si>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</si>
  <si>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</si>
  <si>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</si>
  <si>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</si>
  <si>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</si>
  <si>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</si>
  <si>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</si>
  <si>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</si>
  <si>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</si>
  <si>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</si>
  <si>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</si>
  <si>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</si>
  <si>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</si>
  <si>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</si>
  <si>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</si>
  <si>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</si>
  <si>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</si>
  <si>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</si>
  <si>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</si>
  <si>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</si>
  <si>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</si>
  <si>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</si>
  <si>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</si>
  <si>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</si>
  <si>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</si>
  <si>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</si>
  <si>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</si>
  <si>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</si>
  <si>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</si>
  <si>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</si>
  <si>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</si>
  <si>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</si>
  <si>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</si>
  <si>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</si>
  <si>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</si>
  <si>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</si>
  <si>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</si>
  <si>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</si>
  <si>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</si>
  <si>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</si>
  <si>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</si>
  <si>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</si>
  <si>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</si>
  <si>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</si>
  <si>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</si>
  <si>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</si>
  <si>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</si>
  <si>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</si>
  <si>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</si>
  <si>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</si>
  <si>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</si>
  <si>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</si>
  <si>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</si>
  <si>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</si>
  <si>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</si>
  <si>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</si>
  <si>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</si>
  <si>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</si>
  <si>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</si>
  <si>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</si>
  <si>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</si>
  <si>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</si>
  <si>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</si>
  <si>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</si>
  <si>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</si>
  <si>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</si>
  <si>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</si>
  <si>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</si>
  <si>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</si>
  <si>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</si>
  <si>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</si>
  <si>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</si>
  <si>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</si>
  <si>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</si>
  <si>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</si>
  <si>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01311</t>
  </si>
  <si>
    <t>1013006367205</t>
  </si>
  <si>
    <t>1240,647</t>
  </si>
  <si>
    <t>г.Яранск, ул.Горького 2-16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</si>
</sst>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4" tableBorderDxfId="13">
  <autoFilter ref="K52:W118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№ЕИ-04/02-01311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15-3-2, год изготовления 2013, заводской № 1013006367205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г.Яранск, ул.Горького 2-16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24.7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28.9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57.3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64.899999999999991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101.4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101.4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1240,647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1240.653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5.8000000000000005E-3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3.4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3.3000000000000002E-2</v>
      </c>
      <c r="AD54" s="144"/>
      <c r="AE54" s="144"/>
      <c r="AF54" s="144"/>
      <c r="AG54" s="144"/>
      <c r="AH54" s="144"/>
      <c r="AI54" s="145"/>
      <c r="AJ54" s="143">
        <f ca="1">AQ53+RANDBETWEEN(1,3)/1000</f>
        <v>1240.655</v>
      </c>
      <c r="AK54" s="144"/>
      <c r="AL54" s="144"/>
      <c r="AM54" s="144"/>
      <c r="AN54" s="144"/>
      <c r="AO54" s="144"/>
      <c r="AP54" s="145"/>
      <c r="AQ54" s="143">
        <f t="shared" ca="1" si="0"/>
        <v>1240.662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7.0000000000000001E-3</v>
      </c>
      <c r="BE54" s="168"/>
      <c r="BF54" s="168"/>
      <c r="BG54" s="168"/>
      <c r="BH54" s="168"/>
      <c r="BI54" s="168"/>
      <c r="BJ54" s="169"/>
      <c r="BK54" s="146">
        <f t="shared" ca="1" si="1"/>
        <v>0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1240.664</v>
      </c>
      <c r="AK55" s="149"/>
      <c r="AL55" s="149"/>
      <c r="AM55" s="149"/>
      <c r="AN55" s="149"/>
      <c r="AO55" s="149"/>
      <c r="AP55" s="150"/>
      <c r="AQ55" s="143">
        <f t="shared" ca="1" si="0"/>
        <v>1240.671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6.8999999999999999E-3</v>
      </c>
      <c r="BE55" s="168"/>
      <c r="BF55" s="168"/>
      <c r="BG55" s="168"/>
      <c r="BH55" s="168"/>
      <c r="BI55" s="168"/>
      <c r="BJ55" s="169"/>
      <c r="BK55" s="146">
        <f t="shared" ca="1" si="1"/>
        <v>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0.13200000000000001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1240.6770000000001</v>
      </c>
      <c r="AK56" s="149"/>
      <c r="AL56" s="149"/>
      <c r="AM56" s="149"/>
      <c r="AN56" s="149"/>
      <c r="AO56" s="149"/>
      <c r="AP56" s="150"/>
      <c r="AQ56" s="143">
        <f t="shared" ca="1" si="0"/>
        <v>1240.691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1.3799999999999998E-2</v>
      </c>
      <c r="BE56" s="168"/>
      <c r="BF56" s="168"/>
      <c r="BG56" s="168"/>
      <c r="BH56" s="168"/>
      <c r="BI56" s="168"/>
      <c r="BJ56" s="169"/>
      <c r="BK56" s="146">
        <f ca="1">ROUND(((AW56-BD56)/BD56)*100,1)</f>
        <v>1.4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0.13200000000000001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1240.6970000000001</v>
      </c>
      <c r="AK57" s="149"/>
      <c r="AL57" s="149"/>
      <c r="AM57" s="149"/>
      <c r="AN57" s="149"/>
      <c r="AO57" s="149"/>
      <c r="AP57" s="150"/>
      <c r="AQ57" s="143">
        <f t="shared" ca="1" si="0"/>
        <v>1240.711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1.4099999999999998E-2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0.129</v>
      </c>
      <c r="AD58" s="144"/>
      <c r="AE58" s="144"/>
      <c r="AF58" s="144"/>
      <c r="AG58" s="144"/>
      <c r="AH58" s="144"/>
      <c r="AI58" s="145"/>
      <c r="AJ58" s="128">
        <f t="shared" ca="1" si="4"/>
        <v>1240.7180000000001</v>
      </c>
      <c r="AK58" s="149"/>
      <c r="AL58" s="149"/>
      <c r="AM58" s="149"/>
      <c r="AN58" s="149"/>
      <c r="AO58" s="149"/>
      <c r="AP58" s="150"/>
      <c r="AQ58" s="143">
        <f t="shared" ca="1" si="0"/>
        <v>1240.731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1.2900000000000002E-2</v>
      </c>
      <c r="BE58" s="168"/>
      <c r="BF58" s="168"/>
      <c r="BG58" s="168"/>
      <c r="BH58" s="168"/>
      <c r="BI58" s="168"/>
      <c r="BJ58" s="169"/>
      <c r="BK58" s="146">
        <f t="shared" ca="1" si="5"/>
        <v>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0.95899999999999996</v>
      </c>
      <c r="AD59" s="129"/>
      <c r="AE59" s="129"/>
      <c r="AF59" s="129"/>
      <c r="AG59" s="129"/>
      <c r="AH59" s="129"/>
      <c r="AI59" s="130"/>
      <c r="AJ59" s="153">
        <f ca="1">AQ58+RANDBETWEEN(15,18)/1000</f>
        <v>1240.748</v>
      </c>
      <c r="AK59" s="154"/>
      <c r="AL59" s="154"/>
      <c r="AM59" s="154"/>
      <c r="AN59" s="154"/>
      <c r="AO59" s="154"/>
      <c r="AP59" s="155"/>
      <c r="AQ59" s="189">
        <f ca="1">AJ59+AW59</f>
        <v>1240.78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3.1699999999999999E-2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0.9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0.94299999999999995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1240.797</v>
      </c>
      <c r="AK60" s="149"/>
      <c r="AL60" s="149"/>
      <c r="AM60" s="149"/>
      <c r="AN60" s="149"/>
      <c r="AO60" s="149"/>
      <c r="AP60" s="150"/>
      <c r="AQ60" s="143">
        <f t="shared" ca="1" si="0"/>
        <v>1240.829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3.1899999999999998E-2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0.93700000000000006</v>
      </c>
      <c r="AD61" s="129"/>
      <c r="AE61" s="129"/>
      <c r="AF61" s="129"/>
      <c r="AG61" s="129"/>
      <c r="AH61" s="129"/>
      <c r="AI61" s="130"/>
      <c r="AJ61" s="91">
        <f ca="1">AQ60+RANDBETWEEN(15,18)/1000</f>
        <v>1240.846</v>
      </c>
      <c r="AK61" s="92"/>
      <c r="AL61" s="92"/>
      <c r="AM61" s="92"/>
      <c r="AN61" s="92"/>
      <c r="AO61" s="92"/>
      <c r="AP61" s="93"/>
      <c r="AQ61" s="192">
        <f t="shared" ca="1" si="0"/>
        <v>1240.8779999999999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3.2500000000000001E-2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-1.5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269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270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271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272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24.7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57.3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101.4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2025-10-19T08:53:17Z</cp:lastPrinted>
  <dcterms:created xsi:type="dcterms:W3CDTF">2015-01-22T18:16:29Z</dcterms:created>
  <dcterms:modified xsi:type="dcterms:W3CDTF">2025-10-19T08:53:30Z</dcterms:modified>
</cp:coreProperties>
</file>