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1A3C9660-F153-4291-B69E-94B26399144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<sst xmlns="http://schemas.openxmlformats.org/spreadsheetml/2006/main" count="505" uniqueCount="273">
  <si>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</si>
  <si>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</si>
  <si>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</si>
  <si>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</si>
  <si>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</si>
  <si>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</si>
  <si>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</si>
  <si>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</si>
  <si>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</si>
  <si>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</si>
  <si>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</si>
  <si>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</si>
  <si>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</si>
  <si>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</si>
  <si>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</si>
  <si>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</si>
  <si>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</si>
  <si>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</si>
  <si>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</si>
  <si>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</si>
  <si>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</si>
  <si>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</si>
  <si>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</si>
  <si>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</si>
  <si>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</si>
  <si>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</si>
  <si>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</si>
  <si>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</si>
  <si>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</si>
  <si>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</si>
  <si>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</si>
  <si>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</si>
  <si>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</si>
  <si>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</si>
  <si>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</si>
  <si>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</si>
  <si>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</si>
  <si>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</si>
  <si>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</si>
  <si>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</si>
  <si>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</si>
  <si>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</si>
  <si>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</si>
  <si>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</si>
  <si>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</si>
  <si>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</si>
  <si>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</si>
  <si>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</si>
  <si>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</si>
  <si>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</si>
  <si>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</si>
  <si>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</si>
  <si>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</si>
  <si>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</si>
  <si>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</si>
  <si>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</si>
  <si>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</si>
  <si>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</si>
  <si>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</si>
  <si>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</si>
  <si>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</si>
  <si>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</si>
  <si>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</si>
  <si>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</si>
  <si>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</si>
  <si>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</si>
  <si>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</si>
  <si>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</si>
  <si>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</si>
  <si>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</si>
  <si>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</si>
  <si>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</si>
  <si>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</si>
  <si>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</si>
  <si>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</si>
  <si>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</si>
  <si>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</si>
  <si>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</si>
  <si>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</si>
  <si>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</si>
  <si>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</si>
  <si>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</si>
  <si>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</si>
  <si>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</si>
  <si>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</si>
  <si>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</si>
  <si>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</si>
  <si>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</si>
  <si>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</si>
  <si>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</si>
  <si>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</si>
  <si>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</si>
  <si>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</si>
  <si>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</si>
  <si>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</si>
  <si>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</si>
  <si>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</si>
  <si>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</si>
  <si>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</si>
  <si>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</si>
  <si>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</si>
  <si>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</si>
  <si>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</si>
  <si>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</si>
  <si>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</si>
  <si>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</si>
  <si>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</si>
  <si>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</si>
  <si>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</si>
  <si>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</si>
  <si>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</si>
  <si>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</si>
  <si>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</si>
  <si>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</si>
  <si>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</si>
  <si>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</si>
  <si>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</si>
  <si>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</si>
  <si>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</si>
  <si>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</si>
  <si>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</si>
  <si>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</si>
  <si>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</si>
  <si>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</si>
  <si>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</si>
  <si>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</si>
  <si>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</si>
  <si>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</si>
  <si>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</si>
  <si>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</si>
  <si>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</si>
  <si>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</si>
  <si>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</si>
  <si>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</si>
  <si>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</si>
  <si>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</si>
  <si>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</si>
  <si>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</si>
  <si>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</si>
  <si>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</si>
  <si>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</si>
  <si>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</si>
  <si>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</si>
  <si>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</si>
  <si>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</si>
  <si>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</si>
  <si>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</si>
  <si>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</si>
  <si>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</si>
  <si>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</si>
  <si>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</si>
  <si>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</si>
  <si>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</si>
  <si>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</si>
  <si>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</si>
  <si>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</si>
  <si>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</si>
  <si>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</si>
  <si>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</si>
  <si>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</si>
  <si>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</si>
  <si>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</si>
  <si>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</si>
  <si>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</si>
  <si>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</si>
  <si>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</si>
  <si>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</si>
  <si>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</si>
  <si>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</si>
  <si>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</si>
  <si>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</si>
  <si>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</si>
  <si>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</si>
  <si>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</si>
  <si>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</si>
  <si>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</si>
  <si>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</si>
  <si>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</si>
  <si>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</si>
  <si>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</si>
  <si>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</si>
  <si>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</si>
  <si>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</si>
  <si>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</si>
  <si>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</si>
  <si>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</si>
  <si>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</si>
  <si>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</si>
  <si>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</si>
  <si>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</si>
  <si>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</si>
  <si>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</si>
  <si>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</si>
  <si>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</si>
  <si>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</si>
  <si>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</si>
  <si>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</si>
  <si>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</si>
  <si>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</si>
  <si>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</si>
  <si>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</si>
  <si>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</si>
  <si>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</si>
  <si>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</si>
  <si>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</si>
  <si>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</si>
  <si>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</si>
  <si>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</si>
  <si>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</si>
  <si>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</si>
  <si>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</si>
  <si>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</si>
  <si>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</si>
  <si>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</si>
  <si>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</si>
  <si>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</si>
  <si>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</si>
  <si>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</si>
  <si>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</si>
  <si>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</si>
  <si>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</si>
  <si>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</si>
  <si>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</si>
  <si>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</si>
  <si>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</si>
  <si>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</si>
  <si>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</si>
  <si>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</si>
  <si>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</si>
  <si>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</si>
  <si>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</si>
  <si>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</si>
  <si>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</si>
  <si>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</si>
  <si>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</si>
  <si>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</si>
  <si>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</si>
  <si>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</si>
  <si>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</si>
  <si>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</si>
  <si>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</si>
  <si>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</si>
  <si>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</si>
  <si>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</si>
  <si>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</si>
  <si>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</si>
  <si>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</si>
  <si>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</si>
  <si>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</si>
  <si>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</si>
  <si>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</si>
  <si>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</si>
  <si>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</si>
  <si>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</si>
  <si>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</si>
  <si>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</si>
  <si>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</si>
  <si>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</si>
  <si>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</si>
  <si>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</si>
  <si>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</si>
  <si>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</si>
  <si>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</si>
  <si>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</si>
  <si>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</si>
  <si>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</si>
  <si>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</si>
  <si>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</si>
  <si>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</si>
  <si>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1019032121101</t>
  </si>
  <si>
    <t>01293</t>
  </si>
  <si>
    <t>г.Киров, ул.Мостовицкая 213-187</t>
  </si>
  <si>
    <t>88,206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</si>
</sst>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№ЕИ-04/02-01293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15-3-2И, год изготовления 2019, заводской № 1019032121101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ул.Мостовицкая 213-187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22.6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69.8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60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60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88,206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88.213000000000008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88.214000000000013</v>
      </c>
      <c r="AK54" s="144"/>
      <c r="AL54" s="144"/>
      <c r="AM54" s="144"/>
      <c r="AN54" s="144"/>
      <c r="AO54" s="144"/>
      <c r="AP54" s="145"/>
      <c r="AQ54" s="143">
        <f t="shared" ca="1" si="0"/>
        <v>88.221000000000018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88.224000000000018</v>
      </c>
      <c r="AK55" s="149"/>
      <c r="AL55" s="149"/>
      <c r="AM55" s="149"/>
      <c r="AN55" s="149"/>
      <c r="AO55" s="149"/>
      <c r="AP55" s="150"/>
      <c r="AQ55" s="143">
        <f t="shared" ca="1" si="0"/>
        <v>88.231000000000023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0.129</v>
      </c>
      <c r="AD56" s="144"/>
      <c r="AE56" s="144"/>
      <c r="AF56" s="144"/>
      <c r="AG56" s="144"/>
      <c r="AH56" s="144"/>
      <c r="AI56" s="145"/>
      <c r="AJ56" s="128">
        <f ca="1">AQ55+RANDBETWEEN(4,7)/1000</f>
        <v>88.238000000000028</v>
      </c>
      <c r="AK56" s="149"/>
      <c r="AL56" s="149"/>
      <c r="AM56" s="149"/>
      <c r="AN56" s="149"/>
      <c r="AO56" s="149"/>
      <c r="AP56" s="150"/>
      <c r="AQ56" s="143">
        <f t="shared" ca="1" si="0"/>
        <v>88.251000000000033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1.3200000000000002E-2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-1.5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0.126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88.256000000000029</v>
      </c>
      <c r="AK57" s="149"/>
      <c r="AL57" s="149"/>
      <c r="AM57" s="149"/>
      <c r="AN57" s="149"/>
      <c r="AO57" s="149"/>
      <c r="AP57" s="150"/>
      <c r="AQ57" s="143">
        <f t="shared" ca="1" si="0"/>
        <v>88.269000000000034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1.3100000000000001E-2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-0.8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88.274000000000029</v>
      </c>
      <c r="AK58" s="149"/>
      <c r="AL58" s="149"/>
      <c r="AM58" s="149"/>
      <c r="AN58" s="149"/>
      <c r="AO58" s="149"/>
      <c r="AP58" s="150"/>
      <c r="AQ58" s="143">
        <f t="shared" ca="1" si="0"/>
        <v>88.287000000000035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1.3100000000000001E-2</v>
      </c>
      <c r="BE58" s="168"/>
      <c r="BF58" s="168"/>
      <c r="BG58" s="168"/>
      <c r="BH58" s="168"/>
      <c r="BI58" s="168"/>
      <c r="BJ58" s="169"/>
      <c r="BK58" s="146">
        <f t="shared" ca="1" si="5"/>
        <v>-0.8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0.89900000000000002</v>
      </c>
      <c r="AD59" s="129"/>
      <c r="AE59" s="129"/>
      <c r="AF59" s="129"/>
      <c r="AG59" s="129"/>
      <c r="AH59" s="129"/>
      <c r="AI59" s="130"/>
      <c r="AJ59" s="153">
        <f ca="1">AQ58+RANDBETWEEN(15,18)/1000</f>
        <v>88.30300000000004</v>
      </c>
      <c r="AK59" s="154"/>
      <c r="AL59" s="154"/>
      <c r="AM59" s="154"/>
      <c r="AN59" s="154"/>
      <c r="AO59" s="154"/>
      <c r="AP59" s="155"/>
      <c r="AQ59" s="189">
        <f ca="1">AJ59+AW59</f>
        <v>88.333000000000041</v>
      </c>
      <c r="AR59" s="190"/>
      <c r="AS59" s="190"/>
      <c r="AT59" s="190"/>
      <c r="AU59" s="190"/>
      <c r="AV59" s="191"/>
      <c r="AW59" s="143">
        <f ca="1">ROUNDUP(AC59*120/3600,3)</f>
        <v>3.0000000000000002E-2</v>
      </c>
      <c r="AX59" s="151"/>
      <c r="AY59" s="151"/>
      <c r="AZ59" s="151"/>
      <c r="BA59" s="151"/>
      <c r="BB59" s="151"/>
      <c r="BC59" s="152"/>
      <c r="BD59" s="131">
        <f ca="1">AW59+RANDBETWEEN(-5,5)/10000</f>
        <v>2.9600000000000001E-2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1.4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0.91400000000000003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88.348000000000042</v>
      </c>
      <c r="AK60" s="149"/>
      <c r="AL60" s="149"/>
      <c r="AM60" s="149"/>
      <c r="AN60" s="149"/>
      <c r="AO60" s="149"/>
      <c r="AP60" s="150"/>
      <c r="AQ60" s="143">
        <f t="shared" ca="1" si="0"/>
        <v>88.379000000000048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0.91100000000000003</v>
      </c>
      <c r="AD61" s="129"/>
      <c r="AE61" s="129"/>
      <c r="AF61" s="129"/>
      <c r="AG61" s="129"/>
      <c r="AH61" s="129"/>
      <c r="AI61" s="130"/>
      <c r="AJ61" s="91">
        <f ca="1">AQ60+RANDBETWEEN(15,18)/1000</f>
        <v>88.394000000000048</v>
      </c>
      <c r="AK61" s="92"/>
      <c r="AL61" s="92"/>
      <c r="AM61" s="92"/>
      <c r="AN61" s="92"/>
      <c r="AO61" s="92"/>
      <c r="AP61" s="93"/>
      <c r="AQ61" s="192">
        <f t="shared" ca="1" si="0"/>
        <v>88.425000000000054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3.0699999999999998E-2</v>
      </c>
      <c r="BE61" s="132"/>
      <c r="BF61" s="132"/>
      <c r="BG61" s="132"/>
      <c r="BH61" s="132"/>
      <c r="BI61" s="132"/>
      <c r="BJ61" s="133"/>
      <c r="BK61" s="146">
        <f ca="1">ROUND(((AW61-BD61)/BD61)*100,1)</f>
        <v>1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271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23.6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2025-09-30T16:38:33Z</cp:lastPrinted>
  <dcterms:created xsi:type="dcterms:W3CDTF">2015-01-22T18:16:29Z</dcterms:created>
  <dcterms:modified xsi:type="dcterms:W3CDTF">2025-10-18T15:16:50Z</dcterms:modified>
</cp:coreProperties>
</file>