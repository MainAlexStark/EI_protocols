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6.10.2025\"/>
    </mc:Choice>
  </mc:AlternateContent>
  <xr:revisionPtr revIDLastSave="0" documentId="8_{4757E36B-E4BE-4B0C-B170-AC770E811E7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<sst xmlns="http://schemas.openxmlformats.org/spreadsheetml/2006/main" count="499" uniqueCount="271">
  <si>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</si>
  <si>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</si>
  <si>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</si>
  <si>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</si>
  <si>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</si>
  <si>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</si>
  <si>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</si>
  <si>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</si>
  <si>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</si>
  <si>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</si>
  <si>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</si>
  <si>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</si>
  <si>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</si>
  <si>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</si>
  <si>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</si>
  <si>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</si>
  <si>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</si>
  <si>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</si>
  <si>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</si>
  <si>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</si>
  <si>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</si>
  <si>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</si>
  <si>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</si>
  <si>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</si>
  <si>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</si>
  <si>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</si>
  <si>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</si>
  <si>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</si>
  <si>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</si>
  <si>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</si>
  <si>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</si>
  <si>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</si>
  <si>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</si>
  <si>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</si>
  <si>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</si>
  <si>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</si>
  <si>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</si>
  <si>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</si>
  <si>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</si>
  <si>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</si>
  <si>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</si>
  <si>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</si>
  <si>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</si>
  <si>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</si>
  <si>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</si>
  <si>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</si>
  <si>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</si>
  <si>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</si>
  <si>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</si>
  <si>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</si>
  <si>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</si>
  <si>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</si>
  <si>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</si>
  <si>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</si>
  <si>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</si>
  <si>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</si>
  <si>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</si>
  <si>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</si>
  <si>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</si>
  <si>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</si>
  <si>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</si>
  <si>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</si>
  <si>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</si>
  <si>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</si>
  <si>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</si>
  <si>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</si>
  <si>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</si>
  <si>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</si>
  <si>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</si>
  <si>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</si>
  <si>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</si>
  <si>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</si>
  <si>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</si>
  <si>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</si>
  <si>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</si>
  <si>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</si>
  <si>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</si>
  <si>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</si>
  <si>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</si>
  <si>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</si>
  <si>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</si>
  <si>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</si>
  <si>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</si>
  <si>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</si>
  <si>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</si>
  <si>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</si>
  <si>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</si>
  <si>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</si>
  <si>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</si>
  <si>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</si>
  <si>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</si>
  <si>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</si>
  <si>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</si>
  <si>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</si>
  <si>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</si>
  <si>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</si>
  <si>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</si>
  <si>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</si>
  <si>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</si>
  <si>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</si>
  <si>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</si>
  <si>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</si>
  <si>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</si>
  <si>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</si>
  <si>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</si>
  <si>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</si>
  <si>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</si>
  <si>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</si>
  <si>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</si>
  <si>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</si>
  <si>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</si>
  <si>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</si>
  <si>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</si>
  <si>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</si>
  <si>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</si>
  <si>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</si>
  <si>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</si>
  <si>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</si>
  <si>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</si>
  <si>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</si>
  <si>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</si>
  <si>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</si>
  <si>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</si>
  <si>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</si>
  <si>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</si>
  <si>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</si>
  <si>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</si>
  <si>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</si>
  <si>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</si>
  <si>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</si>
  <si>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</si>
  <si>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</si>
  <si>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</si>
  <si>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</si>
  <si>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</si>
  <si>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</si>
  <si>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</si>
  <si>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</si>
  <si>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</si>
  <si>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</si>
  <si>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</si>
  <si>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</si>
  <si>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</si>
  <si>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</si>
  <si>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</si>
  <si>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</si>
  <si>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</si>
  <si>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</si>
  <si>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</si>
  <si>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</si>
  <si>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</si>
  <si>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</si>
  <si>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</si>
  <si>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</si>
  <si>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</si>
  <si>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</si>
  <si>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</si>
  <si>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</si>
  <si>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</si>
  <si>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</si>
  <si>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</si>
  <si>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</si>
  <si>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</si>
  <si>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</si>
  <si>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</si>
  <si>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</si>
  <si>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</si>
  <si>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</si>
  <si>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</si>
  <si>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</si>
  <si>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</si>
  <si>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</si>
  <si>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</si>
  <si>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</si>
  <si>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</si>
  <si>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</si>
  <si>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</si>
  <si>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</si>
  <si>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</si>
  <si>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</si>
  <si>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</si>
  <si>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</si>
  <si>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</si>
  <si>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</si>
  <si>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</si>
  <si>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</si>
  <si>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</si>
  <si>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</si>
  <si>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</si>
  <si>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</si>
  <si>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</si>
  <si>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</si>
  <si>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</si>
  <si>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</si>
  <si>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</si>
  <si>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</si>
  <si>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</si>
  <si>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</si>
  <si>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</si>
  <si>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</si>
  <si>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</si>
  <si>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</si>
  <si>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</si>
  <si>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</si>
  <si>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</si>
  <si>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</si>
  <si>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</si>
  <si>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</si>
  <si>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</si>
  <si>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</si>
  <si>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</si>
  <si>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</si>
  <si>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</si>
  <si>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</si>
  <si>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</si>
  <si>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</si>
  <si>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</si>
  <si>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</si>
  <si>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</si>
  <si>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</si>
  <si>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</si>
  <si>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</si>
  <si>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</si>
  <si>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</si>
  <si>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</si>
  <si>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</si>
  <si>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</si>
  <si>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</si>
  <si>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</si>
  <si>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</si>
  <si>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</si>
  <si>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</si>
  <si>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</si>
  <si>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</si>
  <si>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</si>
  <si>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</si>
  <si>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</si>
  <si>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</si>
  <si>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</si>
  <si>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</si>
  <si>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</si>
  <si>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</si>
  <si>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</si>
  <si>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</si>
  <si>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</si>
  <si>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</si>
  <si>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</si>
  <si>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</si>
  <si>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</si>
  <si>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</si>
  <si>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</si>
  <si>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</si>
  <si>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</si>
  <si>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</si>
  <si>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</si>
  <si>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</si>
  <si>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</si>
  <si>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</si>
  <si>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</si>
  <si>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</si>
  <si>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</si>
  <si>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</si>
  <si>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</si>
  <si>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</si>
  <si>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</si>
  <si>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</si>
  <si>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</si>
  <si>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0101897025</t>
  </si>
  <si>
    <t>01317</t>
  </si>
  <si>
    <t>120,069</t>
  </si>
  <si>
    <t>г.Яранск, ул.Тургенева 26а-4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</si>
</sst>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№ЕИ-04/02-01317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СВК-15Г, год изготовления 2019, заводской № 0101897025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54233-13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г.Яранск, ул.Тургенева 26а-4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22.4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25.7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60.1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65.8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109.5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109.5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5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5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«Рекомендация. ГСИ. Счетчики воды. Методика поверки» МИ 1592-2015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3.3000000000000002E-2</v>
      </c>
      <c r="AD53" s="124"/>
      <c r="AE53" s="124"/>
      <c r="AF53" s="124"/>
      <c r="AG53" s="124"/>
      <c r="AH53" s="124"/>
      <c r="AI53" s="125"/>
      <c r="AJ53" s="122" t="str">
        <f>Данные!B5</f>
        <v>120,069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120.07600000000001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7.3000000000000001E-3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-4.0999999999999996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0.03</v>
      </c>
      <c r="AD54" s="124"/>
      <c r="AE54" s="124"/>
      <c r="AF54" s="124"/>
      <c r="AG54" s="124"/>
      <c r="AH54" s="124"/>
      <c r="AI54" s="125"/>
      <c r="AJ54" s="123">
        <f ca="1">AQ53+RANDBETWEEN(1,3)/1000</f>
        <v>120.078</v>
      </c>
      <c r="AK54" s="124"/>
      <c r="AL54" s="124"/>
      <c r="AM54" s="124"/>
      <c r="AN54" s="124"/>
      <c r="AO54" s="124"/>
      <c r="AP54" s="125"/>
      <c r="AQ54" s="123">
        <f t="shared" ca="1" si="0"/>
        <v>120.084</v>
      </c>
      <c r="AR54" s="124"/>
      <c r="AS54" s="124"/>
      <c r="AT54" s="124"/>
      <c r="AU54" s="124"/>
      <c r="AV54" s="125"/>
      <c r="AW54" s="123">
        <f ca="1">ROUNDUP(AC54*720/3600,3)</f>
        <v>6.0000000000000001E-3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6.3E-3</v>
      </c>
      <c r="BE54" s="136"/>
      <c r="BF54" s="136"/>
      <c r="BG54" s="136"/>
      <c r="BH54" s="136"/>
      <c r="BI54" s="136"/>
      <c r="BJ54" s="137"/>
      <c r="BK54" s="132">
        <f t="shared" ca="1" si="1"/>
        <v>-4.8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3.3000000000000002E-2</v>
      </c>
      <c r="AD55" s="124"/>
      <c r="AE55" s="124"/>
      <c r="AF55" s="124"/>
      <c r="AG55" s="124"/>
      <c r="AH55" s="124"/>
      <c r="AI55" s="125"/>
      <c r="AJ55" s="122">
        <f ca="1">AQ54+RANDBETWEEN(1,3)/1000</f>
        <v>120.087</v>
      </c>
      <c r="AK55" s="120"/>
      <c r="AL55" s="120"/>
      <c r="AM55" s="120"/>
      <c r="AN55" s="120"/>
      <c r="AO55" s="120"/>
      <c r="AP55" s="121"/>
      <c r="AQ55" s="123">
        <f t="shared" ca="1" si="0"/>
        <v>120.09400000000001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6.8999999999999999E-3</v>
      </c>
      <c r="BE55" s="136"/>
      <c r="BF55" s="136"/>
      <c r="BG55" s="136"/>
      <c r="BH55" s="136"/>
      <c r="BI55" s="136"/>
      <c r="BJ55" s="137"/>
      <c r="BK55" s="132">
        <f t="shared" ca="1" si="1"/>
        <v>1.4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0.127</v>
      </c>
      <c r="AD56" s="124"/>
      <c r="AE56" s="124"/>
      <c r="AF56" s="124"/>
      <c r="AG56" s="124"/>
      <c r="AH56" s="124"/>
      <c r="AI56" s="125"/>
      <c r="AJ56" s="119">
        <f ca="1">AQ55+RANDBETWEEN(4,7)/1000</f>
        <v>120.099</v>
      </c>
      <c r="AK56" s="120"/>
      <c r="AL56" s="120"/>
      <c r="AM56" s="120"/>
      <c r="AN56" s="120"/>
      <c r="AO56" s="120"/>
      <c r="AP56" s="121"/>
      <c r="AQ56" s="123">
        <f t="shared" ca="1" si="0"/>
        <v>120.11200000000001</v>
      </c>
      <c r="AR56" s="124"/>
      <c r="AS56" s="124"/>
      <c r="AT56" s="124"/>
      <c r="AU56" s="124"/>
      <c r="AV56" s="125"/>
      <c r="AW56" s="123">
        <f ca="1">ROUNDUP(AC56*360/3600,3)</f>
        <v>1.3000000000000001E-2</v>
      </c>
      <c r="AX56" s="124"/>
      <c r="AY56" s="124"/>
      <c r="AZ56" s="124"/>
      <c r="BA56" s="124"/>
      <c r="BB56" s="124"/>
      <c r="BC56" s="125"/>
      <c r="BD56" s="135">
        <f ca="1">AW56+RANDBETWEEN(-2,2)/10000</f>
        <v>1.3100000000000001E-2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-0.8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0.13500000000000001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120.117</v>
      </c>
      <c r="AK57" s="120"/>
      <c r="AL57" s="120"/>
      <c r="AM57" s="120"/>
      <c r="AN57" s="120"/>
      <c r="AO57" s="120"/>
      <c r="AP57" s="121"/>
      <c r="AQ57" s="123">
        <f t="shared" ca="1" si="0"/>
        <v>120.131</v>
      </c>
      <c r="AR57" s="124"/>
      <c r="AS57" s="124"/>
      <c r="AT57" s="124"/>
      <c r="AU57" s="124"/>
      <c r="AV57" s="125"/>
      <c r="AW57" s="123">
        <f ca="1">ROUNDUP(AC57*360/3600,3)</f>
        <v>1.3999999999999999E-2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1.4099999999999998E-2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-0.7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0.13100000000000001</v>
      </c>
      <c r="AD58" s="124"/>
      <c r="AE58" s="124"/>
      <c r="AF58" s="124"/>
      <c r="AG58" s="124"/>
      <c r="AH58" s="124"/>
      <c r="AI58" s="125"/>
      <c r="AJ58" s="119">
        <f t="shared" ca="1" si="4"/>
        <v>120.13500000000001</v>
      </c>
      <c r="AK58" s="120"/>
      <c r="AL58" s="120"/>
      <c r="AM58" s="120"/>
      <c r="AN58" s="120"/>
      <c r="AO58" s="120"/>
      <c r="AP58" s="121"/>
      <c r="AQ58" s="123">
        <f t="shared" ca="1" si="0"/>
        <v>120.149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1.3799999999999998E-2</v>
      </c>
      <c r="BE58" s="136"/>
      <c r="BF58" s="136"/>
      <c r="BG58" s="136"/>
      <c r="BH58" s="136"/>
      <c r="BI58" s="136"/>
      <c r="BJ58" s="137"/>
      <c r="BK58" s="132">
        <f t="shared" ca="1" si="5"/>
        <v>1.4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0.92700000000000005</v>
      </c>
      <c r="AD59" s="158"/>
      <c r="AE59" s="158"/>
      <c r="AF59" s="158"/>
      <c r="AG59" s="158"/>
      <c r="AH59" s="158"/>
      <c r="AI59" s="159"/>
      <c r="AJ59" s="174">
        <f ca="1">AQ58+RANDBETWEEN(15,18)/1000</f>
        <v>120.16500000000001</v>
      </c>
      <c r="AK59" s="175"/>
      <c r="AL59" s="175"/>
      <c r="AM59" s="175"/>
      <c r="AN59" s="175"/>
      <c r="AO59" s="175"/>
      <c r="AP59" s="176"/>
      <c r="AQ59" s="126">
        <f ca="1">AJ59+AW59</f>
        <v>120.19600000000001</v>
      </c>
      <c r="AR59" s="127"/>
      <c r="AS59" s="127"/>
      <c r="AT59" s="127"/>
      <c r="AU59" s="127"/>
      <c r="AV59" s="128"/>
      <c r="AW59" s="123">
        <f ca="1">ROUNDUP(AC59*120/3600,3)</f>
        <v>3.1E-2</v>
      </c>
      <c r="AX59" s="130"/>
      <c r="AY59" s="130"/>
      <c r="AZ59" s="130"/>
      <c r="BA59" s="130"/>
      <c r="BB59" s="130"/>
      <c r="BC59" s="131"/>
      <c r="BD59" s="135">
        <f ca="1">AW59+RANDBETWEEN(-5,5)/10000</f>
        <v>3.0699999999999998E-2</v>
      </c>
      <c r="BE59" s="160"/>
      <c r="BF59" s="160"/>
      <c r="BG59" s="160"/>
      <c r="BH59" s="160"/>
      <c r="BI59" s="160"/>
      <c r="BJ59" s="161"/>
      <c r="BK59" s="132">
        <f ca="1">ROUND(((AW59-BD59)/BD59)*100,1)</f>
        <v>1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0.93200000000000005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120.21300000000001</v>
      </c>
      <c r="AK60" s="120"/>
      <c r="AL60" s="120"/>
      <c r="AM60" s="120"/>
      <c r="AN60" s="120"/>
      <c r="AO60" s="120"/>
      <c r="AP60" s="121"/>
      <c r="AQ60" s="123">
        <f t="shared" ca="1" si="0"/>
        <v>120.245</v>
      </c>
      <c r="AR60" s="124"/>
      <c r="AS60" s="124"/>
      <c r="AT60" s="124"/>
      <c r="AU60" s="124"/>
      <c r="AV60" s="125"/>
      <c r="AW60" s="123">
        <f t="shared" ref="AW60:AW61" ca="1" si="7">ROUNDUP(AC60*120/3600,3)</f>
        <v>3.2000000000000001E-2</v>
      </c>
      <c r="AX60" s="130"/>
      <c r="AY60" s="130"/>
      <c r="AZ60" s="130"/>
      <c r="BA60" s="130"/>
      <c r="BB60" s="130"/>
      <c r="BC60" s="131"/>
      <c r="BD60" s="135">
        <f ca="1">AW60+RANDBETWEEN(-5,5)/10000</f>
        <v>3.2399999999999998E-2</v>
      </c>
      <c r="BE60" s="160"/>
      <c r="BF60" s="160"/>
      <c r="BG60" s="160"/>
      <c r="BH60" s="160"/>
      <c r="BI60" s="160"/>
      <c r="BJ60" s="161"/>
      <c r="BK60" s="132">
        <f ca="1">ROUND(((AW60-BD60)/BD60)*100,1)</f>
        <v>-1.2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0.96</v>
      </c>
      <c r="AD61" s="158"/>
      <c r="AE61" s="158"/>
      <c r="AF61" s="158"/>
      <c r="AG61" s="158"/>
      <c r="AH61" s="158"/>
      <c r="AI61" s="159"/>
      <c r="AJ61" s="171">
        <f ca="1">AQ60+RANDBETWEEN(15,18)/1000</f>
        <v>120.26100000000001</v>
      </c>
      <c r="AK61" s="172"/>
      <c r="AL61" s="172"/>
      <c r="AM61" s="172"/>
      <c r="AN61" s="172"/>
      <c r="AO61" s="172"/>
      <c r="AP61" s="173"/>
      <c r="AQ61" s="129">
        <f t="shared" ca="1" si="0"/>
        <v>120.29300000000001</v>
      </c>
      <c r="AR61" s="130"/>
      <c r="AS61" s="130"/>
      <c r="AT61" s="130"/>
      <c r="AU61" s="130"/>
      <c r="AV61" s="131"/>
      <c r="AW61" s="123">
        <f t="shared" ca="1" si="7"/>
        <v>3.2000000000000001E-2</v>
      </c>
      <c r="AX61" s="130"/>
      <c r="AY61" s="130"/>
      <c r="AZ61" s="130"/>
      <c r="BA61" s="130"/>
      <c r="BB61" s="130"/>
      <c r="BC61" s="131"/>
      <c r="BD61" s="135">
        <f ca="1">AW61+RANDBETWEEN(-5,5)/10000</f>
        <v>3.1699999999999999E-2</v>
      </c>
      <c r="BE61" s="160"/>
      <c r="BF61" s="160"/>
      <c r="BG61" s="160"/>
      <c r="BH61" s="160"/>
      <c r="BI61" s="160"/>
      <c r="BJ61" s="161"/>
      <c r="BK61" s="132">
        <f ca="1">ROUND(((AW61-BD61)/BD61)*100,1)</f>
        <v>0.9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45946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5" sqref="B5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247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267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45946</v>
      </c>
      <c r="C9" s="13"/>
      <c r="D9" s="13"/>
      <c r="E9" s="13"/>
    </row>
    <row r="10" spans="1:21" ht="18" x14ac:dyDescent="0.35">
      <c r="A10" s="11" t="s">
        <v>15</v>
      </c>
      <c r="B10" s="76">
        <v>22.4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60.1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109.5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45949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59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2025-09-30T16:07:03Z</cp:lastPrinted>
  <dcterms:created xsi:type="dcterms:W3CDTF">2015-01-22T18:16:29Z</dcterms:created>
  <dcterms:modified xsi:type="dcterms:W3CDTF">2025-10-19T12:03:58Z</dcterms:modified>
</cp:coreProperties>
</file>