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13_ncr:1_{2D84700D-A4D7-469C-809F-0F5C4213ED2A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<sst xmlns="http://schemas.openxmlformats.org/spreadsheetml/2006/main" count="499" uniqueCount="271">
  <si>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</si>
  <si>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</si>
  <si>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</si>
  <si>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</si>
  <si>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</si>
  <si>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</si>
  <si>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</si>
  <si>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</si>
  <si>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</si>
  <si>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</si>
  <si>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</si>
  <si>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</si>
  <si>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</si>
  <si>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</si>
  <si>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</si>
  <si>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</si>
  <si>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</si>
  <si>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</si>
  <si>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</si>
  <si>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</si>
  <si>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</si>
  <si>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</si>
  <si>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</si>
  <si>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</si>
  <si>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</si>
  <si>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</si>
  <si>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</si>
  <si>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</si>
  <si>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</si>
  <si>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</si>
  <si>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</si>
  <si>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</si>
  <si>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</si>
  <si>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</si>
  <si>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</si>
  <si>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</si>
  <si>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</si>
  <si>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</si>
  <si>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</si>
  <si>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</si>
  <si>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</si>
  <si>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</si>
  <si>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</si>
  <si>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</si>
  <si>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</si>
  <si>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</si>
  <si>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</si>
  <si>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</si>
  <si>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</si>
  <si>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</si>
  <si>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</si>
  <si>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</si>
  <si>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</si>
  <si>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</si>
  <si>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</si>
  <si>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</si>
  <si>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</si>
  <si>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</si>
  <si>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</si>
  <si>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</si>
  <si>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</si>
  <si>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</si>
  <si>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</si>
  <si>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</si>
  <si>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</si>
  <si>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</si>
  <si>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</si>
  <si>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</si>
  <si>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</si>
  <si>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</si>
  <si>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</si>
  <si>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</si>
  <si>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</si>
  <si>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</si>
  <si>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</si>
  <si>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</si>
  <si>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</si>
  <si>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</si>
  <si>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</si>
  <si>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</si>
  <si>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</si>
  <si>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</si>
  <si>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</si>
  <si>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</si>
  <si>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</si>
  <si>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</si>
  <si>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</si>
  <si>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</si>
  <si>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</si>
  <si>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</si>
  <si>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</si>
  <si>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</si>
  <si>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</si>
  <si>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</si>
  <si>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</si>
  <si>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</si>
  <si>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</si>
  <si>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</si>
  <si>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</si>
  <si>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</si>
  <si>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</si>
  <si>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</si>
  <si>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</si>
  <si>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</si>
  <si>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</si>
  <si>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</si>
  <si>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</si>
  <si>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</si>
  <si>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</si>
  <si>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</si>
  <si>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</si>
  <si>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</si>
  <si>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</si>
  <si>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</si>
  <si>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</si>
  <si>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</si>
  <si>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</si>
  <si>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</si>
  <si>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</si>
  <si>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</si>
  <si>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</si>
  <si>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</si>
  <si>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</si>
  <si>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</si>
  <si>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</si>
  <si>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</si>
  <si>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</si>
  <si>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</si>
  <si>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</si>
  <si>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</si>
  <si>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</si>
  <si>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</si>
  <si>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</si>
  <si>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</si>
  <si>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</si>
  <si>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</si>
  <si>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</si>
  <si>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</si>
  <si>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</si>
  <si>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</si>
  <si>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</si>
  <si>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</si>
  <si>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</si>
  <si>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</si>
  <si>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</si>
  <si>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</si>
  <si>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</si>
  <si>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</si>
  <si>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</si>
  <si>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</si>
  <si>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</si>
  <si>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</si>
  <si>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</si>
  <si>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</si>
  <si>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</si>
  <si>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</si>
  <si>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</si>
  <si>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</si>
  <si>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</si>
  <si>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</si>
  <si>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</si>
  <si>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</si>
  <si>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</si>
  <si>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</si>
  <si>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</si>
  <si>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</si>
  <si>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</si>
  <si>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</si>
  <si>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</si>
  <si>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</si>
  <si>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</si>
  <si>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</si>
  <si>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</si>
  <si>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</si>
  <si>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</si>
  <si>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</si>
  <si>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</si>
  <si>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</si>
  <si>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</si>
  <si>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</si>
  <si>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</si>
  <si>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</si>
  <si>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</si>
  <si>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</si>
  <si>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</si>
  <si>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</si>
  <si>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</si>
  <si>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</si>
  <si>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</si>
  <si>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</si>
  <si>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</si>
  <si>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</si>
  <si>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</si>
  <si>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</si>
  <si>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</si>
  <si>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</si>
  <si>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</si>
  <si>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</si>
  <si>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</si>
  <si>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</si>
  <si>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</si>
  <si>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</si>
  <si>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</si>
  <si>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</si>
  <si>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</si>
  <si>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</si>
  <si>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</si>
  <si>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</si>
  <si>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</si>
  <si>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</si>
  <si>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</si>
  <si>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</si>
  <si>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</si>
  <si>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</si>
  <si>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</si>
  <si>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</si>
  <si>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</si>
  <si>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</si>
  <si>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</si>
  <si>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</si>
  <si>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</si>
  <si>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</si>
  <si>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</si>
  <si>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</si>
  <si>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</si>
  <si>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</si>
  <si>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</si>
  <si>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</si>
  <si>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</si>
  <si>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</si>
  <si>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</si>
  <si>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</si>
  <si>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</si>
  <si>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</si>
  <si>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</si>
  <si>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</si>
  <si>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</si>
  <si>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</si>
  <si>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</si>
  <si>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</si>
  <si>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</si>
  <si>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</si>
  <si>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</si>
  <si>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</si>
  <si>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</si>
  <si>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</si>
  <si>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</si>
  <si>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</si>
  <si>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</si>
  <si>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</si>
  <si>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</si>
  <si>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</si>
  <si>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</si>
  <si>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</si>
  <si>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</si>
  <si>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</si>
  <si>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</si>
  <si>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</si>
  <si>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</si>
  <si>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</si>
  <si>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</si>
  <si>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</si>
  <si>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</si>
  <si>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</si>
  <si>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</si>
  <si>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</si>
  <si>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</si>
  <si>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Динамовский, 12-1</t>
  </si>
  <si>
    <t>01248</t>
  </si>
  <si>
    <t>247,846</t>
  </si>
  <si>
    <t>С01203896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</si>
</sst>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№ЕИ-04/02-01248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СВ-15Х, год изготовления 2009, заводской № С01203896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24319-05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Динамовский, 12-1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25.4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27.2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53.2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62.6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102.3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102.3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3.1E-2</v>
      </c>
      <c r="AD53" s="144"/>
      <c r="AE53" s="144"/>
      <c r="AF53" s="144"/>
      <c r="AG53" s="144"/>
      <c r="AH53" s="144"/>
      <c r="AI53" s="145"/>
      <c r="AJ53" s="188" t="str">
        <f>Данные!B5</f>
        <v>247,846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247.85300000000001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7.1999999999999998E-3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-2.8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3.1E-2</v>
      </c>
      <c r="AD54" s="144"/>
      <c r="AE54" s="144"/>
      <c r="AF54" s="144"/>
      <c r="AG54" s="144"/>
      <c r="AH54" s="144"/>
      <c r="AI54" s="145"/>
      <c r="AJ54" s="143">
        <f ca="1">AQ53+RANDBETWEEN(1,3)/1000</f>
        <v>247.85400000000001</v>
      </c>
      <c r="AK54" s="144"/>
      <c r="AL54" s="144"/>
      <c r="AM54" s="144"/>
      <c r="AN54" s="144"/>
      <c r="AO54" s="144"/>
      <c r="AP54" s="145"/>
      <c r="AQ54" s="143">
        <f t="shared" ca="1" si="0"/>
        <v>247.86100000000002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7.3000000000000001E-3</v>
      </c>
      <c r="BE54" s="168"/>
      <c r="BF54" s="168"/>
      <c r="BG54" s="168"/>
      <c r="BH54" s="168"/>
      <c r="BI54" s="168"/>
      <c r="BJ54" s="169"/>
      <c r="BK54" s="146">
        <f t="shared" ca="1" si="1"/>
        <v>-4.0999999999999996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247.86300000000003</v>
      </c>
      <c r="AK55" s="149"/>
      <c r="AL55" s="149"/>
      <c r="AM55" s="149"/>
      <c r="AN55" s="149"/>
      <c r="AO55" s="149"/>
      <c r="AP55" s="150"/>
      <c r="AQ55" s="143">
        <f t="shared" ca="1" si="0"/>
        <v>247.87000000000003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6.8000000000000005E-3</v>
      </c>
      <c r="BE55" s="168"/>
      <c r="BF55" s="168"/>
      <c r="BG55" s="168"/>
      <c r="BH55" s="168"/>
      <c r="BI55" s="168"/>
      <c r="BJ55" s="169"/>
      <c r="BK55" s="146">
        <f t="shared" ca="1" si="1"/>
        <v>2.9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0.13400000000000001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247.87500000000003</v>
      </c>
      <c r="AK56" s="149"/>
      <c r="AL56" s="149"/>
      <c r="AM56" s="149"/>
      <c r="AN56" s="149"/>
      <c r="AO56" s="149"/>
      <c r="AP56" s="150"/>
      <c r="AQ56" s="143">
        <f t="shared" ca="1" si="0"/>
        <v>247.88900000000004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1.3999999999999999E-2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0.125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247.89500000000004</v>
      </c>
      <c r="AK57" s="149"/>
      <c r="AL57" s="149"/>
      <c r="AM57" s="149"/>
      <c r="AN57" s="149"/>
      <c r="AO57" s="149"/>
      <c r="AP57" s="150"/>
      <c r="AQ57" s="143">
        <f t="shared" ca="1" si="0"/>
        <v>247.90800000000004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1.3000000000000001E-2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0.13100000000000001</v>
      </c>
      <c r="AD58" s="144"/>
      <c r="AE58" s="144"/>
      <c r="AF58" s="144"/>
      <c r="AG58" s="144"/>
      <c r="AH58" s="144"/>
      <c r="AI58" s="145"/>
      <c r="AJ58" s="128">
        <f t="shared" ca="1" si="4"/>
        <v>247.91400000000004</v>
      </c>
      <c r="AK58" s="149"/>
      <c r="AL58" s="149"/>
      <c r="AM58" s="149"/>
      <c r="AN58" s="149"/>
      <c r="AO58" s="149"/>
      <c r="AP58" s="150"/>
      <c r="AQ58" s="143">
        <f t="shared" ca="1" si="0"/>
        <v>247.92800000000005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1.3899999999999999E-2</v>
      </c>
      <c r="BE58" s="168"/>
      <c r="BF58" s="168"/>
      <c r="BG58" s="168"/>
      <c r="BH58" s="168"/>
      <c r="BI58" s="168"/>
      <c r="BJ58" s="169"/>
      <c r="BK58" s="146">
        <f t="shared" ca="1" si="5"/>
        <v>0.7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</v>
      </c>
      <c r="AD59" s="129"/>
      <c r="AE59" s="129"/>
      <c r="AF59" s="129"/>
      <c r="AG59" s="129"/>
      <c r="AH59" s="129"/>
      <c r="AI59" s="130"/>
      <c r="AJ59" s="153">
        <f ca="1">AQ58+RANDBETWEEN(15,18)/1000</f>
        <v>247.94600000000005</v>
      </c>
      <c r="AK59" s="154"/>
      <c r="AL59" s="154"/>
      <c r="AM59" s="154"/>
      <c r="AN59" s="154"/>
      <c r="AO59" s="154"/>
      <c r="AP59" s="155"/>
      <c r="AQ59" s="189">
        <f ca="1">AJ59+AW59</f>
        <v>247.97600000000006</v>
      </c>
      <c r="AR59" s="190"/>
      <c r="AS59" s="190"/>
      <c r="AT59" s="190"/>
      <c r="AU59" s="190"/>
      <c r="AV59" s="191"/>
      <c r="AW59" s="143">
        <f ca="1">ROUNDUP(AC59*120/3600,3)</f>
        <v>0.03</v>
      </c>
      <c r="AX59" s="151"/>
      <c r="AY59" s="151"/>
      <c r="AZ59" s="151"/>
      <c r="BA59" s="151"/>
      <c r="BB59" s="151"/>
      <c r="BC59" s="152"/>
      <c r="BD59" s="131">
        <f ca="1">AW59+RANDBETWEEN(-5,5)/10000</f>
        <v>2.9499999999999998E-2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1.7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0.90300000000000002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247.99100000000004</v>
      </c>
      <c r="AK60" s="149"/>
      <c r="AL60" s="149"/>
      <c r="AM60" s="149"/>
      <c r="AN60" s="149"/>
      <c r="AO60" s="149"/>
      <c r="AP60" s="150"/>
      <c r="AQ60" s="143">
        <f t="shared" ca="1" si="0"/>
        <v>248.02200000000005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0.95199999999999996</v>
      </c>
      <c r="AD61" s="129"/>
      <c r="AE61" s="129"/>
      <c r="AF61" s="129"/>
      <c r="AG61" s="129"/>
      <c r="AH61" s="129"/>
      <c r="AI61" s="130"/>
      <c r="AJ61" s="91">
        <f ca="1">AQ60+RANDBETWEEN(15,18)/1000</f>
        <v>248.03900000000004</v>
      </c>
      <c r="AK61" s="92"/>
      <c r="AL61" s="92"/>
      <c r="AM61" s="92"/>
      <c r="AN61" s="92"/>
      <c r="AO61" s="92"/>
      <c r="AP61" s="93"/>
      <c r="AQ61" s="192">
        <f t="shared" ca="1" si="0"/>
        <v>248.07100000000005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3.2000000000000001E-2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45932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109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270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20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2025-09-30T15:55:16Z</cp:lastPrinted>
  <dcterms:created xsi:type="dcterms:W3CDTF">2015-01-22T18:16:29Z</dcterms:created>
  <dcterms:modified xsi:type="dcterms:W3CDTF">2025-10-08T11:58:04Z</dcterms:modified>
</cp:coreProperties>
</file>