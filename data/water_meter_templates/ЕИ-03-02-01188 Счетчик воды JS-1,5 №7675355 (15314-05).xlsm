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01B0A8F7-11A5-42B6-993B-542E4A3BDF81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<sst xmlns="http://schemas.openxmlformats.org/spreadsheetml/2006/main" count="499" uniqueCount="271">
  <si>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</si>
  <si>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</si>
  <si>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</si>
  <si>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</si>
  <si>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</si>
  <si>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</si>
  <si>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</si>
  <si>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</si>
  <si>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</si>
  <si>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</si>
  <si>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</si>
  <si>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</si>
  <si>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</si>
  <si>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</si>
  <si>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</si>
  <si>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</si>
  <si>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</si>
  <si>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</si>
  <si>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</si>
  <si>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</si>
  <si>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</si>
  <si>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</si>
  <si>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</si>
  <si>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</si>
  <si>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</si>
  <si>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</si>
  <si>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</si>
  <si>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</si>
  <si>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</si>
  <si>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</si>
  <si>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</si>
  <si>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</si>
  <si>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</si>
  <si>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</si>
  <si>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</si>
  <si>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</si>
  <si>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</si>
  <si>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</si>
  <si>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</si>
  <si>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</si>
  <si>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</si>
  <si>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</si>
  <si>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</si>
  <si>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</si>
  <si>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</si>
  <si>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</si>
  <si>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</si>
  <si>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</si>
  <si>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</si>
  <si>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</si>
  <si>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</si>
  <si>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</si>
  <si>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</si>
  <si>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</si>
  <si>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</si>
  <si>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</si>
  <si>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</si>
  <si>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</si>
  <si>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</si>
  <si>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</si>
  <si>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</si>
  <si>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</si>
  <si>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</si>
  <si>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</si>
  <si>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</si>
  <si>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</si>
  <si>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</si>
  <si>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</si>
  <si>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</si>
  <si>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</si>
  <si>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</si>
  <si>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</si>
  <si>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</si>
  <si>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</si>
  <si>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</si>
  <si>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</si>
  <si>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</si>
  <si>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</si>
  <si>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</si>
  <si>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</si>
  <si>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</si>
  <si>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</si>
  <si>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</si>
  <si>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</si>
  <si>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</si>
  <si>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</si>
  <si>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</si>
  <si>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</si>
  <si>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</si>
  <si>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</si>
  <si>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</si>
  <si>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</si>
  <si>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</si>
  <si>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</si>
  <si>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</si>
  <si>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</si>
  <si>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</si>
  <si>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</si>
  <si>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</si>
  <si>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</si>
  <si>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</si>
  <si>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</si>
  <si>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</si>
  <si>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</si>
  <si>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</si>
  <si>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</si>
  <si>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</si>
  <si>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</si>
  <si>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</si>
  <si>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</si>
  <si>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</si>
  <si>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</si>
  <si>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</si>
  <si>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</si>
  <si>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</si>
  <si>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</si>
  <si>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</si>
  <si>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</si>
  <si>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</si>
  <si>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</si>
  <si>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</si>
  <si>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</si>
  <si>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</si>
  <si>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</si>
  <si>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</si>
  <si>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</si>
  <si>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</si>
  <si>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</si>
  <si>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</si>
  <si>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</si>
  <si>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</si>
  <si>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</si>
  <si>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</si>
  <si>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</si>
  <si>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</si>
  <si>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</si>
  <si>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</si>
  <si>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</si>
  <si>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</si>
  <si>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</si>
  <si>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</si>
  <si>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</si>
  <si>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</si>
  <si>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</si>
  <si>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</si>
  <si>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</si>
  <si>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</si>
  <si>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</si>
  <si>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</si>
  <si>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</si>
  <si>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</si>
  <si>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</si>
  <si>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</si>
  <si>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</si>
  <si>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</si>
  <si>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</si>
  <si>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</si>
  <si>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</si>
  <si>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</si>
  <si>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</si>
  <si>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</si>
  <si>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</si>
  <si>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</si>
  <si>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</si>
  <si>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</si>
  <si>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</si>
  <si>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</si>
  <si>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</si>
  <si>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</si>
  <si>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</si>
  <si>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</si>
  <si>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</si>
  <si>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</si>
  <si>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</si>
  <si>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</si>
  <si>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</si>
  <si>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</si>
  <si>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</si>
  <si>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</si>
  <si>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</si>
  <si>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</si>
  <si>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</si>
  <si>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</si>
  <si>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</si>
  <si>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</si>
  <si>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</si>
  <si>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</si>
  <si>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</si>
  <si>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</si>
  <si>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</si>
  <si>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</si>
  <si>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</si>
  <si>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</si>
  <si>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</si>
  <si>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</si>
  <si>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</si>
  <si>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</si>
  <si>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</si>
  <si>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</si>
  <si>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</si>
  <si>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</si>
  <si>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</si>
  <si>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</si>
  <si>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</si>
  <si>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</si>
  <si>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</si>
  <si>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</si>
  <si>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</si>
  <si>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</si>
  <si>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</si>
  <si>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</si>
  <si>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</si>
  <si>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</si>
  <si>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</si>
  <si>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</si>
  <si>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</si>
  <si>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</si>
  <si>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</si>
  <si>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</si>
  <si>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</si>
  <si>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</si>
  <si>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</si>
  <si>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</si>
  <si>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</si>
  <si>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</si>
  <si>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</si>
  <si>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</si>
  <si>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</si>
  <si>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</si>
  <si>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</si>
  <si>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</si>
  <si>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</si>
  <si>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</si>
  <si>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</si>
  <si>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</si>
  <si>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</si>
  <si>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</si>
  <si>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</si>
  <si>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</si>
  <si>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</si>
  <si>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</si>
  <si>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</si>
  <si>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</si>
  <si>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</si>
  <si>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</si>
  <si>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</si>
  <si>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</si>
  <si>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</si>
  <si>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</si>
  <si>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</si>
  <si>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</si>
  <si>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</si>
  <si>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</si>
  <si>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</si>
  <si>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</si>
  <si>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</si>
  <si>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</si>
  <si>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</si>
  <si>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</si>
  <si>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</si>
  <si>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</si>
  <si>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</si>
  <si>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</si>
  <si>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</si>
  <si>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</si>
  <si>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</si>
  <si>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</si>
  <si>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01188</t>
  </si>
  <si>
    <t>г. Киров, ул. Советская, 86-15</t>
  </si>
  <si>
    <t>7675355</t>
  </si>
  <si>
    <t>1087,454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</si>
</sst>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№ЕИ-04/02-01188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JS 1,5, год изготовления 2005, заводской № 7675355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15314-05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Советская, 86-15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24.2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56.5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62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68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68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1087,454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1087.461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1087.463</v>
      </c>
      <c r="AK54" s="144"/>
      <c r="AL54" s="144"/>
      <c r="AM54" s="144"/>
      <c r="AN54" s="144"/>
      <c r="AO54" s="144"/>
      <c r="AP54" s="145"/>
      <c r="AQ54" s="143">
        <f t="shared" ca="1" si="0"/>
        <v>1087.47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7.3000000000000001E-3</v>
      </c>
      <c r="BE54" s="168"/>
      <c r="BF54" s="168"/>
      <c r="BG54" s="168"/>
      <c r="BH54" s="168"/>
      <c r="BI54" s="168"/>
      <c r="BJ54" s="169"/>
      <c r="BK54" s="146">
        <f t="shared" ca="1" si="1"/>
        <v>-4.0999999999999996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1087.471</v>
      </c>
      <c r="AK55" s="149"/>
      <c r="AL55" s="149"/>
      <c r="AM55" s="149"/>
      <c r="AN55" s="149"/>
      <c r="AO55" s="149"/>
      <c r="AP55" s="150"/>
      <c r="AQ55" s="143">
        <f t="shared" ca="1" si="0"/>
        <v>1087.4780000000001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-2.8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0.13400000000000001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1087.4840000000002</v>
      </c>
      <c r="AK56" s="149"/>
      <c r="AL56" s="149"/>
      <c r="AM56" s="149"/>
      <c r="AN56" s="149"/>
      <c r="AO56" s="149"/>
      <c r="AP56" s="150"/>
      <c r="AQ56" s="143">
        <f t="shared" ca="1" si="0"/>
        <v>1087.498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1.3799999999999998E-2</v>
      </c>
      <c r="BE56" s="168"/>
      <c r="BF56" s="168"/>
      <c r="BG56" s="168"/>
      <c r="BH56" s="168"/>
      <c r="BI56" s="168"/>
      <c r="BJ56" s="169"/>
      <c r="BK56" s="146">
        <f ca="1">ROUND(((AW56-BD56)/BD56)*100,1)</f>
        <v>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0.13300000000000001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1087.5050000000001</v>
      </c>
      <c r="AK57" s="149"/>
      <c r="AL57" s="149"/>
      <c r="AM57" s="149"/>
      <c r="AN57" s="149"/>
      <c r="AO57" s="149"/>
      <c r="AP57" s="150"/>
      <c r="AQ57" s="143">
        <f t="shared" ca="1" si="0"/>
        <v>1087.519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1.4099999999999998E-2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</v>
      </c>
      <c r="AD58" s="144"/>
      <c r="AE58" s="144"/>
      <c r="AF58" s="144"/>
      <c r="AG58" s="144"/>
      <c r="AH58" s="144"/>
      <c r="AI58" s="145"/>
      <c r="AJ58" s="128">
        <f t="shared" ca="1" si="4"/>
        <v>1087.5229999999999</v>
      </c>
      <c r="AK58" s="149"/>
      <c r="AL58" s="149"/>
      <c r="AM58" s="149"/>
      <c r="AN58" s="149"/>
      <c r="AO58" s="149"/>
      <c r="AP58" s="150"/>
      <c r="AQ58" s="143">
        <f t="shared" ca="1" si="0"/>
        <v>1087.5359999999998</v>
      </c>
      <c r="AR58" s="144"/>
      <c r="AS58" s="144"/>
      <c r="AT58" s="144"/>
      <c r="AU58" s="144"/>
      <c r="AV58" s="145"/>
      <c r="AW58" s="143">
        <f ca="1">ROUNDUP(AC58*360/3600,3)</f>
        <v>1.2999999999999999E-2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1.2999999999999999E-2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0.92800000000000005</v>
      </c>
      <c r="AD59" s="129"/>
      <c r="AE59" s="129"/>
      <c r="AF59" s="129"/>
      <c r="AG59" s="129"/>
      <c r="AH59" s="129"/>
      <c r="AI59" s="130"/>
      <c r="AJ59" s="153">
        <f ca="1">AQ58+RANDBETWEEN(15,18)/1000</f>
        <v>1087.5539999999999</v>
      </c>
      <c r="AK59" s="154"/>
      <c r="AL59" s="154"/>
      <c r="AM59" s="154"/>
      <c r="AN59" s="154"/>
      <c r="AO59" s="154"/>
      <c r="AP59" s="155"/>
      <c r="AQ59" s="189">
        <f ca="1">AJ59+AW59</f>
        <v>1087.5849999999998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3.1300000000000001E-2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-1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0.90200000000000002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1087.6029999999998</v>
      </c>
      <c r="AK60" s="149"/>
      <c r="AL60" s="149"/>
      <c r="AM60" s="149"/>
      <c r="AN60" s="149"/>
      <c r="AO60" s="149"/>
      <c r="AP60" s="150"/>
      <c r="AQ60" s="143">
        <f t="shared" ca="1" si="0"/>
        <v>1087.6339999999998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</v>
      </c>
      <c r="AD61" s="129"/>
      <c r="AE61" s="129"/>
      <c r="AF61" s="129"/>
      <c r="AG61" s="129"/>
      <c r="AH61" s="129"/>
      <c r="AI61" s="130"/>
      <c r="AJ61" s="91">
        <f ca="1">AQ60+RANDBETWEEN(15,18)/1000</f>
        <v>1087.6509999999998</v>
      </c>
      <c r="AK61" s="92"/>
      <c r="AL61" s="92"/>
      <c r="AM61" s="92"/>
      <c r="AN61" s="92"/>
      <c r="AO61" s="92"/>
      <c r="AP61" s="93"/>
      <c r="AQ61" s="192">
        <f t="shared" ca="1" si="0"/>
        <v>1087.6809999999998</v>
      </c>
      <c r="AR61" s="151"/>
      <c r="AS61" s="151"/>
      <c r="AT61" s="151"/>
      <c r="AU61" s="151"/>
      <c r="AV61" s="152"/>
      <c r="AW61" s="143">
        <f t="shared" ca="1" si="7"/>
        <v>0.03</v>
      </c>
      <c r="AX61" s="151"/>
      <c r="AY61" s="151"/>
      <c r="AZ61" s="151"/>
      <c r="BA61" s="151"/>
      <c r="BB61" s="151"/>
      <c r="BC61" s="152"/>
      <c r="BD61" s="131">
        <f ca="1">AW61+RANDBETWEEN(-5,5)/10000</f>
        <v>3.0300000000000001E-2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158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268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22.5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56.5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68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68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35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2025-09-30T15:58:11Z</cp:lastPrinted>
  <dcterms:created xsi:type="dcterms:W3CDTF">2015-01-22T18:16:29Z</dcterms:created>
  <dcterms:modified xsi:type="dcterms:W3CDTF">2025-09-30T16:06:50Z</dcterms:modified>
</cp:coreProperties>
</file>