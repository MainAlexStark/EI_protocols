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170D2970-6054-4E4E-8630-62E4E5DDA7E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<sst xmlns="http://schemas.openxmlformats.org/spreadsheetml/2006/main" count="407" uniqueCount="238">
  <si>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</si>
  <si>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</si>
  <si>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</si>
  <si>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</si>
  <si>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</si>
  <si>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</si>
  <si>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</si>
  <si>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</si>
  <si>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</si>
  <si>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</si>
  <si>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</si>
  <si>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</si>
  <si>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</si>
  <si>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</si>
  <si>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</si>
  <si>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</si>
  <si>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</si>
  <si>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</si>
  <si>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</si>
  <si>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</si>
  <si>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</si>
  <si>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</si>
  <si>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</si>
  <si>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</si>
  <si>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</si>
  <si>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</si>
  <si>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</si>
  <si>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</si>
  <si>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</si>
  <si>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</si>
  <si>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</si>
  <si>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</si>
  <si>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</si>
  <si>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</si>
  <si>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</si>
  <si>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</si>
  <si>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</si>
  <si>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</si>
  <si>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</si>
  <si>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</si>
  <si>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</si>
  <si>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</si>
  <si>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</si>
  <si>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</si>
  <si>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</si>
  <si>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</si>
  <si>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</si>
  <si>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</si>
  <si>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</si>
  <si>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</si>
  <si>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</si>
  <si>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</si>
  <si>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</si>
  <si>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</si>
  <si>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</si>
  <si>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</si>
  <si>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</si>
  <si>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</si>
  <si>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</si>
  <si>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</si>
  <si>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</si>
  <si>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</si>
  <si>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</si>
  <si>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</si>
  <si>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</si>
  <si>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</si>
  <si>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</si>
  <si>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</si>
  <si>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</si>
  <si>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</si>
  <si>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</si>
  <si>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</si>
  <si>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</si>
  <si>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</si>
  <si>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</si>
  <si>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</si>
  <si>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</si>
  <si>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</si>
  <si>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</si>
  <si>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</si>
  <si>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</si>
  <si>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</si>
  <si>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</si>
  <si>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</si>
  <si>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</si>
  <si>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</si>
  <si>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</si>
  <si>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</si>
  <si>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</si>
  <si>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</si>
  <si>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</si>
  <si>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</si>
  <si>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</si>
  <si>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</si>
  <si>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</si>
  <si>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</si>
  <si>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</si>
  <si>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</si>
  <si>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</si>
  <si>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</si>
  <si>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</si>
  <si>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</si>
  <si>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</si>
  <si>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</si>
  <si>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</si>
  <si>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</si>
  <si>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</si>
  <si>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</si>
  <si>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</si>
  <si>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</si>
  <si>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</si>
  <si>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</si>
  <si>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</si>
  <si>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</si>
  <si>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</si>
  <si>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</si>
  <si>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</si>
  <si>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</si>
  <si>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</si>
  <si>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</si>
  <si>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</si>
  <si>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</si>
  <si>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</si>
  <si>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</si>
  <si>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</si>
  <si>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</si>
  <si>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</si>
  <si>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</si>
  <si>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</si>
  <si>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</si>
  <si>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</si>
  <si>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</si>
  <si>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</si>
  <si>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</si>
  <si>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</si>
  <si>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</si>
  <si>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</si>
  <si>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</si>
  <si>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</si>
  <si>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</si>
  <si>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</si>
  <si>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</si>
  <si>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</si>
  <si>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</si>
  <si>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</si>
  <si>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</si>
  <si>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</si>
  <si>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</si>
  <si>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</si>
  <si>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</si>
  <si>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</si>
  <si>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</si>
  <si>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</si>
  <si>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</si>
  <si>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</si>
  <si>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</si>
  <si>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</si>
  <si>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</si>
  <si>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</si>
  <si>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</si>
  <si>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</si>
  <si>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</si>
  <si>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</si>
  <si>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</si>
  <si>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</si>
  <si>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</si>
  <si>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</si>
  <si>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</si>
  <si>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</si>
  <si>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</si>
  <si>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</si>
  <si>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</si>
  <si>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</si>
  <si>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</si>
  <si>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</si>
  <si>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</si>
  <si>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</si>
  <si>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</si>
  <si>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</si>
  <si>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</si>
  <si>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</si>
  <si>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</si>
  <si>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</si>
  <si>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</si>
  <si>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</si>
  <si>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</si>
  <si>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</si>
  <si>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</si>
  <si>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</si>
  <si>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</si>
  <si>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</si>
  <si>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</si>
  <si>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</si>
  <si>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</si>
  <si>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</si>
  <si>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</si>
  <si>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</si>
  <si>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</si>
  <si>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</si>
  <si>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</si>
  <si>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</si>
  <si>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</si>
  <si>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</si>
  <si>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</si>
  <si>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</si>
  <si>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</si>
  <si>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</si>
  <si>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</si>
  <si>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</si>
  <si>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</si>
  <si>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</si>
  <si>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</si>
  <si>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</si>
  <si>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</si>
  <si>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</si>
  <si>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</si>
  <si>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</si>
  <si>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</si>
  <si>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</si>
  <si>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</si>
  <si>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</si>
  <si>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</si>
  <si>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</si>
  <si>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</si>
  <si>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</si>
  <si>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</si>
  <si>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</si>
  <si>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</si>
  <si>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</si>
  <si>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</si>
  <si>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</si>
  <si>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</si>
  <si>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</si>
  <si>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</si>
  <si>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г.Киров, ул.Профсоюзная 52-10</t>
  </si>
  <si>
    <t>40167342</t>
  </si>
  <si>
    <t>463,333</t>
  </si>
  <si>
    <t>01298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</si>
</sst>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№ЕИ-04/02-01298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2019, заводской № 40167342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г.Киров, ул.Профсоюзная 52-10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23.6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23.6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61.8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69.899999999999991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104.5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104.5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3.1E-2</v>
      </c>
      <c r="AD53" s="121"/>
      <c r="AE53" s="121"/>
      <c r="AF53" s="121"/>
      <c r="AG53" s="121"/>
      <c r="AH53" s="121"/>
      <c r="AI53" s="122"/>
      <c r="AJ53" s="119" t="str">
        <f>Данные!B6</f>
        <v>463,333</v>
      </c>
      <c r="AK53" s="119"/>
      <c r="AL53" s="119"/>
      <c r="AM53" s="119"/>
      <c r="AN53" s="119"/>
      <c r="AO53" s="119"/>
      <c r="AP53" s="90"/>
      <c r="AQ53" s="118">
        <f ca="1">AJ53+AW53</f>
        <v>463.34000000000003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-2.8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0.125</v>
      </c>
      <c r="AD54" s="121"/>
      <c r="AE54" s="121"/>
      <c r="AF54" s="121"/>
      <c r="AG54" s="121"/>
      <c r="AH54" s="121"/>
      <c r="AI54" s="122"/>
      <c r="AJ54" s="99">
        <f ca="1">AQ53+RANDBETWEEN(4,7)/1000</f>
        <v>463.34500000000003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463.358</v>
      </c>
      <c r="AR54" s="121"/>
      <c r="AS54" s="121"/>
      <c r="AT54" s="121"/>
      <c r="AU54" s="121"/>
      <c r="AV54" s="122"/>
      <c r="AW54" s="120">
        <f ca="1">ROUNDUP(AC54*360/3600,3)</f>
        <v>1.3000000000000001E-2</v>
      </c>
      <c r="AX54" s="121"/>
      <c r="AY54" s="121"/>
      <c r="AZ54" s="121"/>
      <c r="BA54" s="121"/>
      <c r="BB54" s="121"/>
      <c r="BC54" s="122"/>
      <c r="BD54" s="169">
        <f ca="1">AW54+RANDBETWEEN(-2,2)/10000</f>
        <v>1.2900000000000002E-2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0.8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0.93899999999999995</v>
      </c>
      <c r="AD55" s="167"/>
      <c r="AE55" s="167"/>
      <c r="AF55" s="167"/>
      <c r="AG55" s="167"/>
      <c r="AH55" s="167"/>
      <c r="AI55" s="168"/>
      <c r="AJ55" s="99">
        <f ca="1">AQ54+RANDBETWEEN(15,18)/1000</f>
        <v>463.37400000000002</v>
      </c>
      <c r="AK55" s="99"/>
      <c r="AL55" s="99"/>
      <c r="AM55" s="99"/>
      <c r="AN55" s="99"/>
      <c r="AO55" s="99"/>
      <c r="AP55" s="90"/>
      <c r="AQ55" s="120">
        <f t="shared" ca="1" si="0"/>
        <v>463.40600000000001</v>
      </c>
      <c r="AR55" s="121"/>
      <c r="AS55" s="121"/>
      <c r="AT55" s="121"/>
      <c r="AU55" s="121"/>
      <c r="AV55" s="122"/>
      <c r="AW55" s="120">
        <f ca="1">ROUNDUP(AC55*120/3600,3)</f>
        <v>3.2000000000000001E-2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3.1800000000000002E-2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45945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23.6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61.8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104.5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2025-09-30T17:05:09Z</cp:lastPrinted>
  <dcterms:created xsi:type="dcterms:W3CDTF">2015-01-22T18:16:29Z</dcterms:created>
  <dcterms:modified xsi:type="dcterms:W3CDTF">2025-10-18T15:26:30Z</dcterms:modified>
</cp:coreProperties>
</file>