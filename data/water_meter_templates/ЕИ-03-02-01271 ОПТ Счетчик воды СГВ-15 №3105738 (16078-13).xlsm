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3_10_2025\"/>
    </mc:Choice>
  </mc:AlternateContent>
  <xr:revisionPtr revIDLastSave="0" documentId="8_{1007652C-659D-43B0-B589-528989B7B95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<sst xmlns="http://schemas.openxmlformats.org/spreadsheetml/2006/main" count="407" uniqueCount="238">
  <si>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</si>
  <si>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</si>
  <si>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</si>
  <si>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</si>
  <si>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</si>
  <si>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</si>
  <si>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</si>
  <si>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</si>
  <si>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</si>
  <si>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</si>
  <si>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</si>
  <si>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</si>
  <si>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</si>
  <si>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</si>
  <si>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</si>
  <si>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</si>
  <si>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</si>
  <si>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</si>
  <si>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</si>
  <si>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</si>
  <si>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</si>
  <si>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</si>
  <si>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</si>
  <si>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</si>
  <si>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</si>
  <si>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</si>
  <si>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</si>
  <si>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</si>
  <si>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</si>
  <si>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</si>
  <si>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</si>
  <si>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</si>
  <si>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</si>
  <si>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</si>
  <si>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</si>
  <si>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</si>
  <si>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</si>
  <si>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</si>
  <si>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</si>
  <si>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</si>
  <si>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</si>
  <si>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</si>
  <si>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</si>
  <si>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</si>
  <si>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</si>
  <si>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</si>
  <si>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</si>
  <si>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</si>
  <si>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</si>
  <si>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</si>
  <si>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</si>
  <si>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</si>
  <si>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</si>
  <si>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</si>
  <si>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</si>
  <si>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</si>
  <si>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</si>
  <si>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</si>
  <si>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</si>
  <si>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</si>
  <si>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</si>
  <si>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</si>
  <si>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</si>
  <si>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</si>
  <si>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</si>
  <si>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</si>
  <si>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</si>
  <si>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</si>
  <si>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</si>
  <si>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</si>
  <si>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</si>
  <si>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</si>
  <si>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</si>
  <si>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</si>
  <si>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</si>
  <si>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</si>
  <si>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</si>
  <si>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</si>
  <si>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</si>
  <si>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</si>
  <si>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</si>
  <si>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</si>
  <si>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</si>
  <si>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</si>
  <si>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</si>
  <si>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</si>
  <si>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</si>
  <si>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</si>
  <si>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</si>
  <si>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</si>
  <si>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</si>
  <si>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</si>
  <si>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</si>
  <si>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</si>
  <si>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</si>
  <si>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</si>
  <si>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</si>
  <si>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</si>
  <si>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</si>
  <si>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</si>
  <si>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</si>
  <si>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</si>
  <si>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</si>
  <si>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</si>
  <si>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</si>
  <si>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</si>
  <si>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</si>
  <si>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</si>
  <si>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</si>
  <si>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</si>
  <si>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</si>
  <si>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</si>
  <si>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</si>
  <si>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</si>
  <si>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</si>
  <si>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</si>
  <si>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</si>
  <si>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</si>
  <si>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</si>
  <si>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</si>
  <si>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</si>
  <si>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</si>
  <si>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</si>
  <si>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</si>
  <si>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</si>
  <si>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</si>
  <si>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</si>
  <si>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</si>
  <si>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</si>
  <si>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</si>
  <si>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</si>
  <si>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</si>
  <si>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</si>
  <si>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</si>
  <si>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</si>
  <si>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</si>
  <si>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</si>
  <si>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</si>
  <si>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</si>
  <si>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</si>
  <si>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</si>
  <si>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</si>
  <si>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</si>
  <si>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</si>
  <si>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</si>
  <si>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</si>
  <si>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</si>
  <si>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</si>
  <si>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</si>
  <si>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</si>
  <si>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</si>
  <si>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</si>
  <si>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</si>
  <si>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</si>
  <si>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</si>
  <si>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</si>
  <si>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</si>
  <si>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</si>
  <si>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</si>
  <si>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</si>
  <si>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</si>
  <si>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</si>
  <si>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</si>
  <si>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</si>
  <si>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</si>
  <si>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</si>
  <si>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</si>
  <si>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</si>
  <si>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</si>
  <si>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</si>
  <si>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</si>
  <si>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</si>
  <si>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</si>
  <si>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</si>
  <si>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</si>
  <si>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</si>
  <si>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</si>
  <si>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</si>
  <si>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</si>
  <si>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</si>
  <si>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</si>
  <si>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</si>
  <si>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</si>
  <si>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</si>
  <si>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</si>
  <si>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</si>
  <si>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</si>
  <si>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</si>
  <si>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</si>
  <si>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</si>
  <si>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</si>
  <si>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</si>
  <si>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</si>
  <si>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</si>
  <si>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</si>
  <si>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</si>
  <si>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</si>
  <si>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</si>
  <si>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</si>
  <si>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</si>
  <si>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</si>
  <si>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</si>
  <si>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</si>
  <si>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</si>
  <si>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</si>
  <si>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</si>
  <si>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</si>
  <si>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</si>
  <si>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</si>
  <si>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</si>
  <si>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</si>
  <si>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</si>
  <si>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</si>
  <si>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</si>
  <si>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</si>
  <si>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</si>
  <si>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</si>
  <si>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</si>
  <si>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</si>
  <si>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</si>
  <si>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</si>
  <si>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</si>
  <si>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</si>
  <si>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</si>
  <si>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</si>
  <si>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</si>
  <si>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</si>
  <si>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</si>
  <si>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</si>
  <si>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</si>
  <si>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</si>
  <si>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</si>
  <si>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</si>
  <si>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</si>
  <si>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01271</t>
  </si>
  <si>
    <t>3105738</t>
  </si>
  <si>
    <t>г.Яранск, ул.Заводская 10/4-15</t>
  </si>
  <si>
    <t>1035,107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</si>
</sst>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6" tableBorderDxfId="15">
  <autoFilter ref="K53:W102" xr:uid="{7A55A5C8-AE78-47C5-9E5F-61F0512EFD5C}"/>
  <tableColumns count="13">
    <tableColumn id="1" xr3:uid="{DB2BFEFC-144F-45D1-A0A2-006DB791906C}" name="тип" dataDxfId="14"/>
    <tableColumn id="2" xr3:uid="{ED5E1588-9715-4A54-A0D1-2A49C4AC9AA2}" name="мп" dataDxfId="13"/>
    <tableColumn id="3" xr3:uid="{62A0B04F-6A7B-435B-91ED-AC4579B1553F}" name="min" dataDxfId="12"/>
    <tableColumn id="4" xr3:uid="{4891998B-7F9F-45C9-86C2-4DBE8C6FEEF5}" name="перех А" dataDxfId="11"/>
    <tableColumn id="5" xr3:uid="{3ADB5F24-D79A-4F44-9383-84701A49EA67}" name="перех B" dataDxfId="10"/>
    <tableColumn id="6" xr3:uid="{0DD83C66-9C5E-4238-912C-C82F865402BD}" name="ном" dataDxfId="9"/>
    <tableColumn id="7" xr3:uid="{DA830BFF-5B83-4FFF-9B87-46A49C6C8B31}" name="max" dataDxfId="8"/>
    <tableColumn id="8" xr3:uid="{41977AB7-134F-4FF7-9C55-0D590DE8A678}" name="порг1" dataDxfId="7"/>
    <tableColumn id="9" xr3:uid="{EA650B12-A6F3-4AD9-8592-23C30A8625AD}" name="погр2" dataDxfId="6"/>
    <tableColumn id="10" xr3:uid="{B4B09A14-BE2C-4879-8039-91BA1325B6F6}" name="Столбец1" dataDxfId="5"/>
    <tableColumn id="11" xr3:uid="{7AE7A9EA-5F38-47F8-A80B-404AC2C35340}" name="Столбец2" dataDxfId="4"/>
    <tableColumn id="12" xr3:uid="{1D1F0254-8B7A-45C8-BE57-4722B28C3763}" name="Столбец3" dataDxfId="3"/>
    <tableColumn id="14" xr3:uid="{18716490-9E5C-4B13-B4DC-6E1B4C836F2B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№ЕИ-04/02-01271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2006, заводской № 3105738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ул.Заводская 10/4-15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21.6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25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58.5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63.2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106.3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106.3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0.03</v>
      </c>
      <c r="AD53" s="121"/>
      <c r="AE53" s="121"/>
      <c r="AF53" s="121"/>
      <c r="AG53" s="121"/>
      <c r="AH53" s="121"/>
      <c r="AI53" s="122"/>
      <c r="AJ53" s="119" t="str">
        <f>Данные!B6</f>
        <v>1035,107</v>
      </c>
      <c r="AK53" s="119"/>
      <c r="AL53" s="119"/>
      <c r="AM53" s="119"/>
      <c r="AN53" s="119"/>
      <c r="AO53" s="119"/>
      <c r="AP53" s="90"/>
      <c r="AQ53" s="118">
        <f ca="1">AJ53+AW53</f>
        <v>1035.1130000000001</v>
      </c>
      <c r="AR53" s="118"/>
      <c r="AS53" s="118"/>
      <c r="AT53" s="118"/>
      <c r="AU53" s="118"/>
      <c r="AV53" s="118"/>
      <c r="AW53" s="120">
        <f ca="1">ROUNDUP(AC53*720/3600,3)</f>
        <v>6.0000000000000001E-3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5.8000000000000005E-3</v>
      </c>
      <c r="BE53" s="175"/>
      <c r="BF53" s="175"/>
      <c r="BG53" s="175"/>
      <c r="BH53" s="175"/>
      <c r="BI53" s="175"/>
      <c r="BJ53" s="176"/>
      <c r="BK53" s="172">
        <f ca="1">ROUND(((AW53-BD53)/BD53)*100,1)</f>
        <v>3.4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0.13500000000000001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1035.1190000000001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1035.133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1.3899999999999999E-2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0.7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0.90500000000000003</v>
      </c>
      <c r="AD55" s="167"/>
      <c r="AE55" s="167"/>
      <c r="AF55" s="167"/>
      <c r="AG55" s="167"/>
      <c r="AH55" s="167"/>
      <c r="AI55" s="168"/>
      <c r="AJ55" s="99">
        <f ca="1">AQ54+RANDBETWEEN(15,18)/1000</f>
        <v>1035.1480000000001</v>
      </c>
      <c r="AK55" s="99"/>
      <c r="AL55" s="99"/>
      <c r="AM55" s="99"/>
      <c r="AN55" s="99"/>
      <c r="AO55" s="99"/>
      <c r="AP55" s="90"/>
      <c r="AQ55" s="120">
        <f t="shared" ca="1" si="0"/>
        <v>1035.1790000000001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3.1300000000000001E-2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-1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45943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Normal="100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2006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237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236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45943</v>
      </c>
      <c r="C10" s="13"/>
      <c r="D10" s="13"/>
      <c r="E10" s="13"/>
    </row>
    <row r="11" spans="1:21" ht="18" x14ac:dyDescent="0.35">
      <c r="A11" s="11" t="s">
        <v>15</v>
      </c>
      <c r="B11" s="76">
        <v>21.6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58.5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106.3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45948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2025-10-18T10:34:48Z</cp:lastPrinted>
  <dcterms:created xsi:type="dcterms:W3CDTF">2015-01-22T18:16:29Z</dcterms:created>
  <dcterms:modified xsi:type="dcterms:W3CDTF">2025-10-18T10:36:03Z</dcterms:modified>
</cp:coreProperties>
</file>