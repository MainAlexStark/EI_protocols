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6C1E12DC-8D18-4E81-9CE1-10195F138C45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<sst xmlns="http://schemas.openxmlformats.org/spreadsheetml/2006/main" count="499" uniqueCount="271">
  <si>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</si>
  <si>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</si>
  <si>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</si>
  <si>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</si>
  <si>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</si>
  <si>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</si>
  <si>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</si>
  <si>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</si>
  <si>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</si>
  <si>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</si>
  <si>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</si>
  <si>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</si>
  <si>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</si>
  <si>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</si>
  <si>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</si>
  <si>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</si>
  <si>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</si>
  <si>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</si>
  <si>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</si>
  <si>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</si>
  <si>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</si>
  <si>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</si>
  <si>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</si>
  <si>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</si>
  <si>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</si>
  <si>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</si>
  <si>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</si>
  <si>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</si>
  <si>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</si>
  <si>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</si>
  <si>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</si>
  <si>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</si>
  <si>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</si>
  <si>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</si>
  <si>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</si>
  <si>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</si>
  <si>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</si>
  <si>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</si>
  <si>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</si>
  <si>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</si>
  <si>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</si>
  <si>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</si>
  <si>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</si>
  <si>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</si>
  <si>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</si>
  <si>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</si>
  <si>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</si>
  <si>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</si>
  <si>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</si>
  <si>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</si>
  <si>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</si>
  <si>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</si>
  <si>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</si>
  <si>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</si>
  <si>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</si>
  <si>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</si>
  <si>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</si>
  <si>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</si>
  <si>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</si>
  <si>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</si>
  <si>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</si>
  <si>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</si>
  <si>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</si>
  <si>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</si>
  <si>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</si>
  <si>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</si>
  <si>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</si>
  <si>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</si>
  <si>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</si>
  <si>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</si>
  <si>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</si>
  <si>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</si>
  <si>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</si>
  <si>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</si>
  <si>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</si>
  <si>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</si>
  <si>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</si>
  <si>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</si>
  <si>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</si>
  <si>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</si>
  <si>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</si>
  <si>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</si>
  <si>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</si>
  <si>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</si>
  <si>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</si>
  <si>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</si>
  <si>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</si>
  <si>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</si>
  <si>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</si>
  <si>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</si>
  <si>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</si>
  <si>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</si>
  <si>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</si>
  <si>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</si>
  <si>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</si>
  <si>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</si>
  <si>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</si>
  <si>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</si>
  <si>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</si>
  <si>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</si>
  <si>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</si>
  <si>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</si>
  <si>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</si>
  <si>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</si>
  <si>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</si>
  <si>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</si>
  <si>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</si>
  <si>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</si>
  <si>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</si>
  <si>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</si>
  <si>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</si>
  <si>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</si>
  <si>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</si>
  <si>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</si>
  <si>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</si>
  <si>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</si>
  <si>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</si>
  <si>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</si>
  <si>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</si>
  <si>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</si>
  <si>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</si>
  <si>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</si>
  <si>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</si>
  <si>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</si>
  <si>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</si>
  <si>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</si>
  <si>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</si>
  <si>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</si>
  <si>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</si>
  <si>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</si>
  <si>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</si>
  <si>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</si>
  <si>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</si>
  <si>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</si>
  <si>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</si>
  <si>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</si>
  <si>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</si>
  <si>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</si>
  <si>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</si>
  <si>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</si>
  <si>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</si>
  <si>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</si>
  <si>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</si>
  <si>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</si>
  <si>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</si>
  <si>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</si>
  <si>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</si>
  <si>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</si>
  <si>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</si>
  <si>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</si>
  <si>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</si>
  <si>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</si>
  <si>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</si>
  <si>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</si>
  <si>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</si>
  <si>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</si>
  <si>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</si>
  <si>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</si>
  <si>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</si>
  <si>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</si>
  <si>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</si>
  <si>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</si>
  <si>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</si>
  <si>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</si>
  <si>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</si>
  <si>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</si>
  <si>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</si>
  <si>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</si>
  <si>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</si>
  <si>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</si>
  <si>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</si>
  <si>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</si>
  <si>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</si>
  <si>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</si>
  <si>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</si>
  <si>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</si>
  <si>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</si>
  <si>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</si>
  <si>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</si>
  <si>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</si>
  <si>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</si>
  <si>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</si>
  <si>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</si>
  <si>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</si>
  <si>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</si>
  <si>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</si>
  <si>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</si>
  <si>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</si>
  <si>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</si>
  <si>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</si>
  <si>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</si>
  <si>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</si>
  <si>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</si>
  <si>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</si>
  <si>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</si>
  <si>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</si>
  <si>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</si>
  <si>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</si>
  <si>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</si>
  <si>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</si>
  <si>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</si>
  <si>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</si>
  <si>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</si>
  <si>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</si>
  <si>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</si>
  <si>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</si>
  <si>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</si>
  <si>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</si>
  <si>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</si>
  <si>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</si>
  <si>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</si>
  <si>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</si>
  <si>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</si>
  <si>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</si>
  <si>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</si>
  <si>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</si>
  <si>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</si>
  <si>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</si>
  <si>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</si>
  <si>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</si>
  <si>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</si>
  <si>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</si>
  <si>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</si>
  <si>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</si>
  <si>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</si>
  <si>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</si>
  <si>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</si>
  <si>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</si>
  <si>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</si>
  <si>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</si>
  <si>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</si>
  <si>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</si>
  <si>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</si>
  <si>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</si>
  <si>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</si>
  <si>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</si>
  <si>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</si>
  <si>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</si>
  <si>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</si>
  <si>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</si>
  <si>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</si>
  <si>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</si>
  <si>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</si>
  <si>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</si>
  <si>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</si>
  <si>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</si>
  <si>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</si>
  <si>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</si>
  <si>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</si>
  <si>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</si>
  <si>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</si>
  <si>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</si>
  <si>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</si>
  <si>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</si>
  <si>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</si>
  <si>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</si>
  <si>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</si>
  <si>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</si>
  <si>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</si>
  <si>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</si>
  <si>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</si>
  <si>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</si>
  <si>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</si>
  <si>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</si>
  <si>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</si>
  <si>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</si>
  <si>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</si>
  <si>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01180</t>
  </si>
  <si>
    <t>120252935</t>
  </si>
  <si>
    <t>343,682</t>
  </si>
  <si>
    <t>г. Киров, ул. Большева, 10-32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</si>
</sst>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УВС-15Х, год изготовления 2012, заводской № 120252935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47204-11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Большева, 10-32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55.5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63.9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«ГСИ. Счетчики холодной воды. Методы и средства поверки» ГОСТ 8.156-83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343,682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343.68900000000002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7.0000000000000001E-3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0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343.69200000000001</v>
      </c>
      <c r="AK54" s="144"/>
      <c r="AL54" s="144"/>
      <c r="AM54" s="144"/>
      <c r="AN54" s="144"/>
      <c r="AO54" s="144"/>
      <c r="AP54" s="145"/>
      <c r="AQ54" s="143">
        <f t="shared" ca="1" si="0"/>
        <v>343.69799999999998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-3.2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343.70099999999996</v>
      </c>
      <c r="AK55" s="149"/>
      <c r="AL55" s="149"/>
      <c r="AM55" s="149"/>
      <c r="AN55" s="149"/>
      <c r="AO55" s="149"/>
      <c r="AP55" s="150"/>
      <c r="AQ55" s="143">
        <f t="shared" ca="1" si="0"/>
        <v>343.70799999999997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0.126</v>
      </c>
      <c r="AD56" s="144"/>
      <c r="AE56" s="144"/>
      <c r="AF56" s="144"/>
      <c r="AG56" s="144"/>
      <c r="AH56" s="144"/>
      <c r="AI56" s="145"/>
      <c r="AJ56" s="128">
        <f ca="1">AQ55+RANDBETWEEN(4,7)/1000</f>
        <v>343.71199999999999</v>
      </c>
      <c r="AK56" s="149"/>
      <c r="AL56" s="149"/>
      <c r="AM56" s="149"/>
      <c r="AN56" s="149"/>
      <c r="AO56" s="149"/>
      <c r="AP56" s="150"/>
      <c r="AQ56" s="143">
        <f t="shared" ca="1" si="0"/>
        <v>343.72499999999997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0.125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343.72999999999996</v>
      </c>
      <c r="AK57" s="149"/>
      <c r="AL57" s="149"/>
      <c r="AM57" s="149"/>
      <c r="AN57" s="149"/>
      <c r="AO57" s="149"/>
      <c r="AP57" s="150"/>
      <c r="AQ57" s="143">
        <f t="shared" ca="1" si="0"/>
        <v>343.74299999999994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1.2900000000000002E-2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0.126</v>
      </c>
      <c r="AD58" s="144"/>
      <c r="AE58" s="144"/>
      <c r="AF58" s="144"/>
      <c r="AG58" s="144"/>
      <c r="AH58" s="144"/>
      <c r="AI58" s="145"/>
      <c r="AJ58" s="128">
        <f t="shared" ca="1" si="4"/>
        <v>343.74699999999996</v>
      </c>
      <c r="AK58" s="149"/>
      <c r="AL58" s="149"/>
      <c r="AM58" s="149"/>
      <c r="AN58" s="149"/>
      <c r="AO58" s="149"/>
      <c r="AP58" s="150"/>
      <c r="AQ58" s="143">
        <f t="shared" ca="1" si="0"/>
        <v>343.75999999999993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1.3000000000000001E-2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0.95399999999999996</v>
      </c>
      <c r="AD59" s="129"/>
      <c r="AE59" s="129"/>
      <c r="AF59" s="129"/>
      <c r="AG59" s="129"/>
      <c r="AH59" s="129"/>
      <c r="AI59" s="130"/>
      <c r="AJ59" s="153">
        <f ca="1">AQ58+RANDBETWEEN(15,18)/1000</f>
        <v>343.77699999999993</v>
      </c>
      <c r="AK59" s="154"/>
      <c r="AL59" s="154"/>
      <c r="AM59" s="154"/>
      <c r="AN59" s="154"/>
      <c r="AO59" s="154"/>
      <c r="AP59" s="155"/>
      <c r="AQ59" s="189">
        <f ca="1">AJ59+AW59</f>
        <v>343.80899999999991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3.1899999999999998E-2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0.94899999999999995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343.82699999999988</v>
      </c>
      <c r="AK60" s="149"/>
      <c r="AL60" s="149"/>
      <c r="AM60" s="149"/>
      <c r="AN60" s="149"/>
      <c r="AO60" s="149"/>
      <c r="AP60" s="150"/>
      <c r="AQ60" s="143">
        <f t="shared" ca="1" si="0"/>
        <v>343.85899999999987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3.1800000000000002E-2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0.90600000000000003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343.87699999999984</v>
      </c>
      <c r="AK61" s="92"/>
      <c r="AL61" s="92"/>
      <c r="AM61" s="92"/>
      <c r="AN61" s="92"/>
      <c r="AO61" s="92"/>
      <c r="AP61" s="93"/>
      <c r="AQ61" s="192">
        <f t="shared" ca="1" si="0"/>
        <v>343.90799999999984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3.0800000000000001E-2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153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22.5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55.5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44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2025-09-21T11:10:05Z</cp:lastPrinted>
  <dcterms:created xsi:type="dcterms:W3CDTF">2015-01-22T18:16:29Z</dcterms:created>
  <dcterms:modified xsi:type="dcterms:W3CDTF">2025-09-30T15:46:51Z</dcterms:modified>
</cp:coreProperties>
</file>