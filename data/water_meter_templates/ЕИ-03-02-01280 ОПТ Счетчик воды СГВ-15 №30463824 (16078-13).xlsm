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4.10.2025\"/>
    </mc:Choice>
  </mc:AlternateContent>
  <xr:revisionPtr revIDLastSave="0" documentId="13_ncr:1_{56E69C7D-7285-4C99-9953-4BB252A461C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<sst xmlns="http://schemas.openxmlformats.org/spreadsheetml/2006/main" count="407" uniqueCount="238">
  <si>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</si>
  <si>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</si>
  <si>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</si>
  <si>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</si>
  <si>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</si>
  <si>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</si>
  <si>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</si>
  <si>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</si>
  <si>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</si>
  <si>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</si>
  <si>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</si>
  <si>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</si>
  <si>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</si>
  <si>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</si>
  <si>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</si>
  <si>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</si>
  <si>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</si>
  <si>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</si>
  <si>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</si>
  <si>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</si>
  <si>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</si>
  <si>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</si>
  <si>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</si>
  <si>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</si>
  <si>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</si>
  <si>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</si>
  <si>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</si>
  <si>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</si>
  <si>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</si>
  <si>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</si>
  <si>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</si>
  <si>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</si>
  <si>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</si>
  <si>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</si>
  <si>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</si>
  <si>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</si>
  <si>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</si>
  <si>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</si>
  <si>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</si>
  <si>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</si>
  <si>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</si>
  <si>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</si>
  <si>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</si>
  <si>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</si>
  <si>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</si>
  <si>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</si>
  <si>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</si>
  <si>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</si>
  <si>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</si>
  <si>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</si>
  <si>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</si>
  <si>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</si>
  <si>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</si>
  <si>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</si>
  <si>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</si>
  <si>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</si>
  <si>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</si>
  <si>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</si>
  <si>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</si>
  <si>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</si>
  <si>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</si>
  <si>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</si>
  <si>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</si>
  <si>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</si>
  <si>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</si>
  <si>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</si>
  <si>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</si>
  <si>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</si>
  <si>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</si>
  <si>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</si>
  <si>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</si>
  <si>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</si>
  <si>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</si>
  <si>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</si>
  <si>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</si>
  <si>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</si>
  <si>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</si>
  <si>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</si>
  <si>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</si>
  <si>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</si>
  <si>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</si>
  <si>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</si>
  <si>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</si>
  <si>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</si>
  <si>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</si>
  <si>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</si>
  <si>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</si>
  <si>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</si>
  <si>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</si>
  <si>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</si>
  <si>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</si>
  <si>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</si>
  <si>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</si>
  <si>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</si>
  <si>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</si>
  <si>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</si>
  <si>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</si>
  <si>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</si>
  <si>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</si>
  <si>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</si>
  <si>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</si>
  <si>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</si>
  <si>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</si>
  <si>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</si>
  <si>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</si>
  <si>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</si>
  <si>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</si>
  <si>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</si>
  <si>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</si>
  <si>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</si>
  <si>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</si>
  <si>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</si>
  <si>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</si>
  <si>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</si>
  <si>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</si>
  <si>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</si>
  <si>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</si>
  <si>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</si>
  <si>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</si>
  <si>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</si>
  <si>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</si>
  <si>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</si>
  <si>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</si>
  <si>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</si>
  <si>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</si>
  <si>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</si>
  <si>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</si>
  <si>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</si>
  <si>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</si>
  <si>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</si>
  <si>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</si>
  <si>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</si>
  <si>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</si>
  <si>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</si>
  <si>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</si>
  <si>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</si>
  <si>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</si>
  <si>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</si>
  <si>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</si>
  <si>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</si>
  <si>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</si>
  <si>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</si>
  <si>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</si>
  <si>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</si>
  <si>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</si>
  <si>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</si>
  <si>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</si>
  <si>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</si>
  <si>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</si>
  <si>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</si>
  <si>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</si>
  <si>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</si>
  <si>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</si>
  <si>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</si>
  <si>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</si>
  <si>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</si>
  <si>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</si>
  <si>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</si>
  <si>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</si>
  <si>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</si>
  <si>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</si>
  <si>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</si>
  <si>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</si>
  <si>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</si>
  <si>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</si>
  <si>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</si>
  <si>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</si>
  <si>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</si>
  <si>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</si>
  <si>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</si>
  <si>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</si>
  <si>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</si>
  <si>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</si>
  <si>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</si>
  <si>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</si>
  <si>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</si>
  <si>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</si>
  <si>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</si>
  <si>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</si>
  <si>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</si>
  <si>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</si>
  <si>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</si>
  <si>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</si>
  <si>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</si>
  <si>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</si>
  <si>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</si>
  <si>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</si>
  <si>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</si>
  <si>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</si>
  <si>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</si>
  <si>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</si>
  <si>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</si>
  <si>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</si>
  <si>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</si>
  <si>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</si>
  <si>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</si>
  <si>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</si>
  <si>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</si>
  <si>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</si>
  <si>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</si>
  <si>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</si>
  <si>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</si>
  <si>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</si>
  <si>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</si>
  <si>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</si>
  <si>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</si>
  <si>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</si>
  <si>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</si>
  <si>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</si>
  <si>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</si>
  <si>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</si>
  <si>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</si>
  <si>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</si>
  <si>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</si>
  <si>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</si>
  <si>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</si>
  <si>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</si>
  <si>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</si>
  <si>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</si>
  <si>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</si>
  <si>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</si>
  <si>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</si>
  <si>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</si>
  <si>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</si>
  <si>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</si>
  <si>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</si>
  <si>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</si>
  <si>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</si>
  <si>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</si>
  <si>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</si>
  <si>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</si>
  <si>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</si>
  <si>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</si>
  <si>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</si>
  <si>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30463824</t>
  </si>
  <si>
    <t>01280</t>
  </si>
  <si>
    <t>470,681</t>
  </si>
  <si>
    <t>Яранский район, с.Каракша, ул.Молодежная 1-1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</si>
</sst>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№ЕИ-04/02-01280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2017, заводской № 30463824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Яранский район, с.Каракша, ул.Молодежная 1-1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22.3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27.4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57.1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66.5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107.8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107.8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4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4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3.2000000000000001E-2</v>
      </c>
      <c r="AD53" s="129"/>
      <c r="AE53" s="129"/>
      <c r="AF53" s="129"/>
      <c r="AG53" s="129"/>
      <c r="AH53" s="129"/>
      <c r="AI53" s="130"/>
      <c r="AJ53" s="199" t="str">
        <f>Данные!B6</f>
        <v>470,681</v>
      </c>
      <c r="AK53" s="199"/>
      <c r="AL53" s="199"/>
      <c r="AM53" s="199"/>
      <c r="AN53" s="199"/>
      <c r="AO53" s="199"/>
      <c r="AP53" s="90"/>
      <c r="AQ53" s="198">
        <f ca="1">AJ53+AW53</f>
        <v>470.68799999999999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0.128</v>
      </c>
      <c r="AD54" s="129"/>
      <c r="AE54" s="129"/>
      <c r="AF54" s="129"/>
      <c r="AG54" s="129"/>
      <c r="AH54" s="129"/>
      <c r="AI54" s="130"/>
      <c r="AJ54" s="183">
        <f ca="1">AQ53+RANDBETWEEN(4,7)/1000</f>
        <v>470.69499999999999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470.70799999999997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0.94199999999999995</v>
      </c>
      <c r="AD55" s="148"/>
      <c r="AE55" s="148"/>
      <c r="AF55" s="148"/>
      <c r="AG55" s="148"/>
      <c r="AH55" s="148"/>
      <c r="AI55" s="149"/>
      <c r="AJ55" s="183">
        <f ca="1">AQ54+RANDBETWEEN(15,18)/1000</f>
        <v>470.72299999999996</v>
      </c>
      <c r="AK55" s="183"/>
      <c r="AL55" s="183"/>
      <c r="AM55" s="183"/>
      <c r="AN55" s="183"/>
      <c r="AO55" s="183"/>
      <c r="AP55" s="90"/>
      <c r="AQ55" s="128">
        <f t="shared" ca="1" si="0"/>
        <v>470.75499999999994</v>
      </c>
      <c r="AR55" s="129"/>
      <c r="AS55" s="129"/>
      <c r="AT55" s="129"/>
      <c r="AU55" s="129"/>
      <c r="AV55" s="130"/>
      <c r="AW55" s="128">
        <f ca="1">ROUNDUP(AC55*120/3600,3)</f>
        <v>3.2000000000000001E-2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3.1800000000000002E-2</v>
      </c>
      <c r="BE55" s="150"/>
      <c r="BF55" s="150"/>
      <c r="BG55" s="150"/>
      <c r="BH55" s="150"/>
      <c r="BI55" s="150"/>
      <c r="BJ55" s="151"/>
      <c r="BK55" s="101">
        <f ca="1">ROUND(((AW55-BD55)/BD55)*100,1)</f>
        <v>0.6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45944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5" sqref="C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45944</v>
      </c>
      <c r="C10" s="13"/>
      <c r="D10" s="13"/>
      <c r="E10" s="13"/>
    </row>
    <row r="11" spans="1:21" ht="18" x14ac:dyDescent="0.35">
      <c r="A11" s="11" t="s">
        <v>15</v>
      </c>
      <c r="B11" s="76">
        <v>22.3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57.1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107.8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4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4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2025-10-18T11:49:14Z</cp:lastPrinted>
  <dcterms:created xsi:type="dcterms:W3CDTF">2015-01-22T18:16:29Z</dcterms:created>
  <dcterms:modified xsi:type="dcterms:W3CDTF">2025-10-18T11:55:18Z</dcterms:modified>
</cp:coreProperties>
</file>