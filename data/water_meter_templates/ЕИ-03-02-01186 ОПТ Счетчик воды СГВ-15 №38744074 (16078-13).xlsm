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62BD5CFF-2AD2-4BCD-886A-7631F46C23DD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<sst xmlns="http://schemas.openxmlformats.org/spreadsheetml/2006/main" count="407" uniqueCount="238">
  <si>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</si>
  <si>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</si>
  <si>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</si>
  <si>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</si>
  <si>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</si>
  <si>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</si>
  <si>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</si>
  <si>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</si>
  <si>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</si>
  <si>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</si>
  <si>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</si>
  <si>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</si>
  <si>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</si>
  <si>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</si>
  <si>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</si>
  <si>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</si>
  <si>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</si>
  <si>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</si>
  <si>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</si>
  <si>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</si>
  <si>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</si>
  <si>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</si>
  <si>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</si>
  <si>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</si>
  <si>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</si>
  <si>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</si>
  <si>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</si>
  <si>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</si>
  <si>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</si>
  <si>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</si>
  <si>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</si>
  <si>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</si>
  <si>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</si>
  <si>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</si>
  <si>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</si>
  <si>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</si>
  <si>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</si>
  <si>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</si>
  <si>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</si>
  <si>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</si>
  <si>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</si>
  <si>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</si>
  <si>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</si>
  <si>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</si>
  <si>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</si>
  <si>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</si>
  <si>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</si>
  <si>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</si>
  <si>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</si>
  <si>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</si>
  <si>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</si>
  <si>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</si>
  <si>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</si>
  <si>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</si>
  <si>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</si>
  <si>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</si>
  <si>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</si>
  <si>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</si>
  <si>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</si>
  <si>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</si>
  <si>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</si>
  <si>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</si>
  <si>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</si>
  <si>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</si>
  <si>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</si>
  <si>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</si>
  <si>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</si>
  <si>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</si>
  <si>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</si>
  <si>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</si>
  <si>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</si>
  <si>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</si>
  <si>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</si>
  <si>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</si>
  <si>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</si>
  <si>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</si>
  <si>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</si>
  <si>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</si>
  <si>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</si>
  <si>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</si>
  <si>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</si>
  <si>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</si>
  <si>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</si>
  <si>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</si>
  <si>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</si>
  <si>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</si>
  <si>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</si>
  <si>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</si>
  <si>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</si>
  <si>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</si>
  <si>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</si>
  <si>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</si>
  <si>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</si>
  <si>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</si>
  <si>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</si>
  <si>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</si>
  <si>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</si>
  <si>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</si>
  <si>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</si>
  <si>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</si>
  <si>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</si>
  <si>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</si>
  <si>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</si>
  <si>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</si>
  <si>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</si>
  <si>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</si>
  <si>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</si>
  <si>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</si>
  <si>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</si>
  <si>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</si>
  <si>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</si>
  <si>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</si>
  <si>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</si>
  <si>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</si>
  <si>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</si>
  <si>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</si>
  <si>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</si>
  <si>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</si>
  <si>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</si>
  <si>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</si>
  <si>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</si>
  <si>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</si>
  <si>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</si>
  <si>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</si>
  <si>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</si>
  <si>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</si>
  <si>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</si>
  <si>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</si>
  <si>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</si>
  <si>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</si>
  <si>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</si>
  <si>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</si>
  <si>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</si>
  <si>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</si>
  <si>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</si>
  <si>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</si>
  <si>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</si>
  <si>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</si>
  <si>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</si>
  <si>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</si>
  <si>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</si>
  <si>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</si>
  <si>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</si>
  <si>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</si>
  <si>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</si>
  <si>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</si>
  <si>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</si>
  <si>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</si>
  <si>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</si>
  <si>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</si>
  <si>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</si>
  <si>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</si>
  <si>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</si>
  <si>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</si>
  <si>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</si>
  <si>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</si>
  <si>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</si>
  <si>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</si>
  <si>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</si>
  <si>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</si>
  <si>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</si>
  <si>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</si>
  <si>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</si>
  <si>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</si>
  <si>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</si>
  <si>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</si>
  <si>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</si>
  <si>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</si>
  <si>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</si>
  <si>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</si>
  <si>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</si>
  <si>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</si>
  <si>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</si>
  <si>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</si>
  <si>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</si>
  <si>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</si>
  <si>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</si>
  <si>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</si>
  <si>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</si>
  <si>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</si>
  <si>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</si>
  <si>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</si>
  <si>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</si>
  <si>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</si>
  <si>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</si>
  <si>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</si>
  <si>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</si>
  <si>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</si>
  <si>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</si>
  <si>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</si>
  <si>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</si>
  <si>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</si>
  <si>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</si>
  <si>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</si>
  <si>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</si>
  <si>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</si>
  <si>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</si>
  <si>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</si>
  <si>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</si>
  <si>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</si>
  <si>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</si>
  <si>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</si>
  <si>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</si>
  <si>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</si>
  <si>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</si>
  <si>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</si>
  <si>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</si>
  <si>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</si>
  <si>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</si>
  <si>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</si>
  <si>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</si>
  <si>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</si>
  <si>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</si>
  <si>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</si>
  <si>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</si>
  <si>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</si>
  <si>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</si>
  <si>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</si>
  <si>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</si>
  <si>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</si>
  <si>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</si>
  <si>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</si>
  <si>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</si>
  <si>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</si>
  <si>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</si>
  <si>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</si>
  <si>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</si>
  <si>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</si>
  <si>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</si>
  <si>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</si>
  <si>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</si>
  <si>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</si>
  <si>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</si>
  <si>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01186</t>
  </si>
  <si>
    <t>г. Киров, ул. Пролетарская, 48-48</t>
  </si>
  <si>
    <t>Частное лицо</t>
  </si>
  <si>
    <t>38744074</t>
  </si>
  <si>
    <t>273,934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</si>
</sst>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№ЕИ-04/02-01186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38744074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 Киров, ул. Пролетарская, 48-48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21.5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19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57.5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66.5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100.2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100.2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60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60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3.3000000000000002E-2</v>
      </c>
      <c r="AD53" s="121"/>
      <c r="AE53" s="121"/>
      <c r="AF53" s="121"/>
      <c r="AG53" s="121"/>
      <c r="AH53" s="121"/>
      <c r="AI53" s="122"/>
      <c r="AJ53" s="119" t="str">
        <f>Данные!B6</f>
        <v>273,934</v>
      </c>
      <c r="AK53" s="119"/>
      <c r="AL53" s="119"/>
      <c r="AM53" s="119"/>
      <c r="AN53" s="119"/>
      <c r="AO53" s="119"/>
      <c r="AP53" s="90"/>
      <c r="AQ53" s="118">
        <f ca="1">AJ53+AW53</f>
        <v>273.94100000000003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7.1000000000000004E-3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-1.4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0.128</v>
      </c>
      <c r="AD54" s="121"/>
      <c r="AE54" s="121"/>
      <c r="AF54" s="121"/>
      <c r="AG54" s="121"/>
      <c r="AH54" s="121"/>
      <c r="AI54" s="122"/>
      <c r="AJ54" s="99">
        <f ca="1">AQ53+RANDBETWEEN(4,7)/1000</f>
        <v>273.94500000000005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273.95800000000003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1.3100000000000001E-2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0.89800000000000002</v>
      </c>
      <c r="AD55" s="167"/>
      <c r="AE55" s="167"/>
      <c r="AF55" s="167"/>
      <c r="AG55" s="167"/>
      <c r="AH55" s="167"/>
      <c r="AI55" s="168"/>
      <c r="AJ55" s="99">
        <f ca="1">AQ54+RANDBETWEEN(15,18)/1000</f>
        <v>273.97300000000001</v>
      </c>
      <c r="AK55" s="99"/>
      <c r="AL55" s="99"/>
      <c r="AM55" s="99"/>
      <c r="AN55" s="99"/>
      <c r="AO55" s="99"/>
      <c r="AP55" s="90"/>
      <c r="AQ55" s="120">
        <f t="shared" ca="1" si="0"/>
        <v>274.00299999999999</v>
      </c>
      <c r="AR55" s="121"/>
      <c r="AS55" s="121"/>
      <c r="AT55" s="121"/>
      <c r="AU55" s="121"/>
      <c r="AV55" s="122"/>
      <c r="AW55" s="120">
        <f ca="1">ROUNDUP(AC55*120/3600,3)</f>
        <v>3.0000000000000002E-2</v>
      </c>
      <c r="AX55" s="121"/>
      <c r="AY55" s="121"/>
      <c r="AZ55" s="121"/>
      <c r="BA55" s="121"/>
      <c r="BB55" s="121"/>
      <c r="BC55" s="122"/>
      <c r="BD55" s="169">
        <f ca="1">AW55+RANDBETWEEN(-5,5)/10000</f>
        <v>3.0100000000000002E-2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-0.3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45929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233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235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45929</v>
      </c>
      <c r="C10" s="13"/>
      <c r="D10" s="13"/>
      <c r="E10" s="13"/>
    </row>
    <row r="11" spans="1:21" ht="18" x14ac:dyDescent="0.35">
      <c r="A11" s="11" t="s">
        <v>15</v>
      </c>
      <c r="B11" s="76">
        <v>21.5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100.2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60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60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2025-09-21T11:47:13Z</cp:lastPrinted>
  <dcterms:created xsi:type="dcterms:W3CDTF">2015-01-22T18:16:29Z</dcterms:created>
  <dcterms:modified xsi:type="dcterms:W3CDTF">2025-09-30T16:01:26Z</dcterms:modified>
</cp:coreProperties>
</file>