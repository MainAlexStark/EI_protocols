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old\"/>
    </mc:Choice>
  </mc:AlternateContent>
  <xr:revisionPtr revIDLastSave="0" documentId="13_ncr:1_{EC6BBA37-6E77-49E3-B079-7CCDD3F8953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<sst xmlns="http://schemas.openxmlformats.org/spreadsheetml/2006/main" count="505" uniqueCount="273">
  <si>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</si>
  <si>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</si>
  <si>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</si>
  <si>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</si>
  <si>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</si>
  <si>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</si>
  <si>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</si>
  <si>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</si>
  <si>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</si>
  <si>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</si>
  <si>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</si>
  <si>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</si>
  <si>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</si>
  <si>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</si>
  <si>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</si>
  <si>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</si>
  <si>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</si>
  <si>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</si>
  <si>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</si>
  <si>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</si>
  <si>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</si>
  <si>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</si>
  <si>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</si>
  <si>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</si>
  <si>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</si>
  <si>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</si>
  <si>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</si>
  <si>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</si>
  <si>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</si>
  <si>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</si>
  <si>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</si>
  <si>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</si>
  <si>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</si>
  <si>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</si>
  <si>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</si>
  <si>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</si>
  <si>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</si>
  <si>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</si>
  <si>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</si>
  <si>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</si>
  <si>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</si>
  <si>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</si>
  <si>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</si>
  <si>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</si>
  <si>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</si>
  <si>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</si>
  <si>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</si>
  <si>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</si>
  <si>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</si>
  <si>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</si>
  <si>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</si>
  <si>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</si>
  <si>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</si>
  <si>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</si>
  <si>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</si>
  <si>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</si>
  <si>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</si>
  <si>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</si>
  <si>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</si>
  <si>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</si>
  <si>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</si>
  <si>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</si>
  <si>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</si>
  <si>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</si>
  <si>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</si>
  <si>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</si>
  <si>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</si>
  <si>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</si>
  <si>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</si>
  <si>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</si>
  <si>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</si>
  <si>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</si>
  <si>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</si>
  <si>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</si>
  <si>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</si>
  <si>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</si>
  <si>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</si>
  <si>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</si>
  <si>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</si>
  <si>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</si>
  <si>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</si>
  <si>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</si>
  <si>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</si>
  <si>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</si>
  <si>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</si>
  <si>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</si>
  <si>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</si>
  <si>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</si>
  <si>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</si>
  <si>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</si>
  <si>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</si>
  <si>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</si>
  <si>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</si>
  <si>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</si>
  <si>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</si>
  <si>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</si>
  <si>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</si>
  <si>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</si>
  <si>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</si>
  <si>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</si>
  <si>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</si>
  <si>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</si>
  <si>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</si>
  <si>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</si>
  <si>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</si>
  <si>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</si>
  <si>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</si>
  <si>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</si>
  <si>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</si>
  <si>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</si>
  <si>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</si>
  <si>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</si>
  <si>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</si>
  <si>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</si>
  <si>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</si>
  <si>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</si>
  <si>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</si>
  <si>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</si>
  <si>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</si>
  <si>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</si>
  <si>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</si>
  <si>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</si>
  <si>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</si>
  <si>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</si>
  <si>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</si>
  <si>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</si>
  <si>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</si>
  <si>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</si>
  <si>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</si>
  <si>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</si>
  <si>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</si>
  <si>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</si>
  <si>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</si>
  <si>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</si>
  <si>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</si>
  <si>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</si>
  <si>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</si>
  <si>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</si>
  <si>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</si>
  <si>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</si>
  <si>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</si>
  <si>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</si>
  <si>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</si>
  <si>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</si>
  <si>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</si>
  <si>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</si>
  <si>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</si>
  <si>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</si>
  <si>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</si>
  <si>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</si>
  <si>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</si>
  <si>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</si>
  <si>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</si>
  <si>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</si>
  <si>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</si>
  <si>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</si>
  <si>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</si>
  <si>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</si>
  <si>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</si>
  <si>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</si>
  <si>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</si>
  <si>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</si>
  <si>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</si>
  <si>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</si>
  <si>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</si>
  <si>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</si>
  <si>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</si>
  <si>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</si>
  <si>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</si>
  <si>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</si>
  <si>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</si>
  <si>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</si>
  <si>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</si>
  <si>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</si>
  <si>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</si>
  <si>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</si>
  <si>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</si>
  <si>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</si>
  <si>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</si>
  <si>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</si>
  <si>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</si>
  <si>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</si>
  <si>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</si>
  <si>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</si>
  <si>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</si>
  <si>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</si>
  <si>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</si>
  <si>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</si>
  <si>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</si>
  <si>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</si>
  <si>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</si>
  <si>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</si>
  <si>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</si>
  <si>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</si>
  <si>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</si>
  <si>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</si>
  <si>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</si>
  <si>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</si>
  <si>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</si>
  <si>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</si>
  <si>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</si>
  <si>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</si>
  <si>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</si>
  <si>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</si>
  <si>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</si>
  <si>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</si>
  <si>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</si>
  <si>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</si>
  <si>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</si>
  <si>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</si>
  <si>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</si>
  <si>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</si>
  <si>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</si>
  <si>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</si>
  <si>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</si>
  <si>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</si>
  <si>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</si>
  <si>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</si>
  <si>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</si>
  <si>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</si>
  <si>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</si>
  <si>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</si>
  <si>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</si>
  <si>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</si>
  <si>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</si>
  <si>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</si>
  <si>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</si>
  <si>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</si>
  <si>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</si>
  <si>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</si>
  <si>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</si>
  <si>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</si>
  <si>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</si>
  <si>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</si>
  <si>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</si>
  <si>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</si>
  <si>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</si>
  <si>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</si>
  <si>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</si>
  <si>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</si>
  <si>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</si>
  <si>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</si>
  <si>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</si>
  <si>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</si>
  <si>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</si>
  <si>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</si>
  <si>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</si>
  <si>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</si>
  <si>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</si>
  <si>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</si>
  <si>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</si>
  <si>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</si>
  <si>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</si>
  <si>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</si>
  <si>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</si>
  <si>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</si>
  <si>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</si>
  <si>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</si>
  <si>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</si>
  <si>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</si>
  <si>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</si>
  <si>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</si>
  <si>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</si>
  <si>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</si>
  <si>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</si>
  <si>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</si>
  <si>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</si>
  <si>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1013024322507</t>
  </si>
  <si>
    <t>01287</t>
  </si>
  <si>
    <t>339,805</t>
  </si>
  <si>
    <t>Яранский район, с.Каракша, ул.Космодемьянская 1б-1</t>
  </si>
  <si>
    <t>СВК 15-3-2И 13869-13</t>
  </si>
  <si>
    <t>СВК 15-3-2И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</si>
</sst>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№ЕИ-04/02-01287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1013024322507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ул.Космодемьянская 1б-1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22.3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26.6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57.1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63.7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107.8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60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60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339,805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339.81099999999998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1.7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339.81399999999996</v>
      </c>
      <c r="AK54" s="144"/>
      <c r="AL54" s="144"/>
      <c r="AM54" s="144"/>
      <c r="AN54" s="144"/>
      <c r="AO54" s="144"/>
      <c r="AP54" s="145"/>
      <c r="AQ54" s="143">
        <f t="shared" ca="1" si="0"/>
        <v>339.81999999999994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-3.2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339.82299999999992</v>
      </c>
      <c r="AK55" s="149"/>
      <c r="AL55" s="149"/>
      <c r="AM55" s="149"/>
      <c r="AN55" s="149"/>
      <c r="AO55" s="149"/>
      <c r="AP55" s="150"/>
      <c r="AQ55" s="143">
        <f t="shared" ca="1" si="0"/>
        <v>339.82899999999989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-3.2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339.83499999999987</v>
      </c>
      <c r="AK56" s="149"/>
      <c r="AL56" s="149"/>
      <c r="AM56" s="149"/>
      <c r="AN56" s="149"/>
      <c r="AO56" s="149"/>
      <c r="AP56" s="150"/>
      <c r="AQ56" s="143">
        <f t="shared" ca="1" si="0"/>
        <v>339.84899999999988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1.3899999999999999E-2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0.13300000000000001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339.85499999999985</v>
      </c>
      <c r="AK57" s="149"/>
      <c r="AL57" s="149"/>
      <c r="AM57" s="149"/>
      <c r="AN57" s="149"/>
      <c r="AO57" s="149"/>
      <c r="AP57" s="150"/>
      <c r="AQ57" s="143">
        <f t="shared" ca="1" si="0"/>
        <v>339.86899999999986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0.13400000000000001</v>
      </c>
      <c r="AD58" s="144"/>
      <c r="AE58" s="144"/>
      <c r="AF58" s="144"/>
      <c r="AG58" s="144"/>
      <c r="AH58" s="144"/>
      <c r="AI58" s="145"/>
      <c r="AJ58" s="128">
        <f t="shared" ca="1" si="4"/>
        <v>339.87299999999988</v>
      </c>
      <c r="AK58" s="149"/>
      <c r="AL58" s="149"/>
      <c r="AM58" s="149"/>
      <c r="AN58" s="149"/>
      <c r="AO58" s="149"/>
      <c r="AP58" s="150"/>
      <c r="AQ58" s="143">
        <f t="shared" ca="1" si="0"/>
        <v>339.88699999999989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1.4099999999999998E-2</v>
      </c>
      <c r="BE58" s="168"/>
      <c r="BF58" s="168"/>
      <c r="BG58" s="168"/>
      <c r="BH58" s="168"/>
      <c r="BI58" s="168"/>
      <c r="BJ58" s="169"/>
      <c r="BK58" s="146">
        <f t="shared" ca="1" si="5"/>
        <v>-0.7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0.89700000000000002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339.90399999999988</v>
      </c>
      <c r="AK59" s="154"/>
      <c r="AL59" s="154"/>
      <c r="AM59" s="154"/>
      <c r="AN59" s="154"/>
      <c r="AO59" s="154"/>
      <c r="AP59" s="155"/>
      <c r="AQ59" s="189">
        <f ca="1">AJ59+AW59</f>
        <v>339.93399999999986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3.0000000000000002E-2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0.89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339.94999999999987</v>
      </c>
      <c r="AK60" s="149"/>
      <c r="AL60" s="149"/>
      <c r="AM60" s="149"/>
      <c r="AN60" s="149"/>
      <c r="AO60" s="149"/>
      <c r="AP60" s="150"/>
      <c r="AQ60" s="143">
        <f t="shared" ca="1" si="0"/>
        <v>339.97999999999985</v>
      </c>
      <c r="AR60" s="144"/>
      <c r="AS60" s="144"/>
      <c r="AT60" s="144"/>
      <c r="AU60" s="144"/>
      <c r="AV60" s="145"/>
      <c r="AW60" s="143">
        <f t="shared" ref="AW60:AW61" ca="1" si="7">ROUNDUP(AC60*120/3600,3)</f>
        <v>3.0000000000000002E-2</v>
      </c>
      <c r="AX60" s="151"/>
      <c r="AY60" s="151"/>
      <c r="AZ60" s="151"/>
      <c r="BA60" s="151"/>
      <c r="BB60" s="151"/>
      <c r="BC60" s="152"/>
      <c r="BD60" s="131">
        <f ca="1">AW60+RANDBETWEEN(-5,5)/10000</f>
        <v>3.0100000000000002E-2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0.89200000000000002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339.99499999999983</v>
      </c>
      <c r="AK61" s="92"/>
      <c r="AL61" s="92"/>
      <c r="AM61" s="92"/>
      <c r="AN61" s="92"/>
      <c r="AO61" s="92"/>
      <c r="AP61" s="93"/>
      <c r="AQ61" s="192">
        <f t="shared" ca="1" si="0"/>
        <v>340.02499999999981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2.9500000000000002E-2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1.7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45944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tabSelected="1" topLeftCell="I52" zoomScale="91" zoomScaleNormal="91" workbookViewId="0">
      <selection activeCell="Y64" sqref="Y6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45944</v>
      </c>
      <c r="C9" s="13"/>
      <c r="D9" s="13"/>
      <c r="E9" s="13"/>
    </row>
    <row r="10" spans="1:21" ht="18" x14ac:dyDescent="0.35">
      <c r="A10" s="11" t="s">
        <v>15</v>
      </c>
      <c r="B10" s="76">
        <v>22.3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107.8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271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272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2025-09-30T16:38:33Z</cp:lastPrinted>
  <dcterms:created xsi:type="dcterms:W3CDTF">2015-01-22T18:16:29Z</dcterms:created>
  <dcterms:modified xsi:type="dcterms:W3CDTF">2025-10-18T15:11:06Z</dcterms:modified>
</cp:coreProperties>
</file>