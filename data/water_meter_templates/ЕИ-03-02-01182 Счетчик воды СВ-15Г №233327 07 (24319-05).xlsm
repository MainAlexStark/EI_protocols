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МОЯ\Протоколы ЕИ\Результаты поверки !!!!!\Протоколы Стариков\2025\"/>
    </mc:Choice>
  </mc:AlternateContent>
  <xr:revisionPtr revIDLastSave="0" documentId="8_{08781805-9A17-481F-A4EB-00A33422FED7}" xr6:coauthVersionLast="37" xr6:coauthVersionMax="37" xr10:uidLastSave="{00000000-0000-0000-0000-000000000000}"/>
  <bookViews>
    <workbookView xWindow="0" yWindow="0" windowWidth="23040" windowHeight="9060" xr2:uid="{00000000-000D-0000-FFFF-FFFF00000000}"/>
  </bookViews>
  <sheets>
    <sheet name="Протокол" sheetId="2" r:id="rId1"/>
    <sheet name="Данные" sheetId="3" r:id="rId2"/>
  </sheets>
  <calcPr calcId="179021" iterateDelta="1E-4"/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<sst xmlns="http://schemas.openxmlformats.org/spreadsheetml/2006/main" count="499" uniqueCount="271">
  <si>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</si>
  <si>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</si>
  <si>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</si>
  <si>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</si>
  <si>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</si>
  <si>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</si>
  <si>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</si>
  <si>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</si>
  <si>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</si>
  <si>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</si>
  <si>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</si>
  <si>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</si>
  <si>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</si>
  <si>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</si>
  <si>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</si>
  <si>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</si>
  <si>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</si>
  <si>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</si>
  <si>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</si>
  <si>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</si>
  <si>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</si>
  <si>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</si>
  <si>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</si>
  <si>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</si>
  <si>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</si>
  <si>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</si>
  <si>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</si>
  <si>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</si>
  <si>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</si>
  <si>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</si>
  <si>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</si>
  <si>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</si>
  <si>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</si>
  <si>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</si>
  <si>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</si>
  <si>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</si>
  <si>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</si>
  <si>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</si>
  <si>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</si>
  <si>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</si>
  <si>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</si>
  <si>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</si>
  <si>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</si>
  <si>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</si>
  <si>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</si>
  <si>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</si>
  <si>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</si>
  <si>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</si>
  <si>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</si>
  <si>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</si>
  <si>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</si>
  <si>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</si>
  <si>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</si>
  <si>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</si>
  <si>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</si>
  <si>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</si>
  <si>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</si>
  <si>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</si>
  <si>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</si>
  <si>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</si>
  <si>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</si>
  <si>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</si>
  <si>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</si>
  <si>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</si>
  <si>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</si>
  <si>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</si>
  <si>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</si>
  <si>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</si>
  <si>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</si>
  <si>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</si>
  <si>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</si>
  <si>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</si>
  <si>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</si>
  <si>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</si>
  <si>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</si>
  <si>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</si>
  <si>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</si>
  <si>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</si>
  <si>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</si>
  <si>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</si>
  <si>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</si>
  <si>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</si>
  <si>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</si>
  <si>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</si>
  <si>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</si>
  <si>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</si>
  <si>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</si>
  <si>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</si>
  <si>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</si>
  <si>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</si>
  <si>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</si>
  <si>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</si>
  <si>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</si>
  <si>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</si>
  <si>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</si>
  <si>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</si>
  <si>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</si>
  <si>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</si>
  <si>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</si>
  <si>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</si>
  <si>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</si>
  <si>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</si>
  <si>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</si>
  <si>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</si>
  <si>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</si>
  <si>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</si>
  <si>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</si>
  <si>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</si>
  <si>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</si>
  <si>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</si>
  <si>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</si>
  <si>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</si>
  <si>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</si>
  <si>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</si>
  <si>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</si>
  <si>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</si>
  <si>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</si>
  <si>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</si>
  <si>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</si>
  <si>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</si>
  <si>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</si>
  <si>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</si>
  <si>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</si>
  <si>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</si>
  <si>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</si>
  <si>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</si>
  <si>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</si>
  <si>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</si>
  <si>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</si>
  <si>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</si>
  <si>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</si>
  <si>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</si>
  <si>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</si>
  <si>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</si>
  <si>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</si>
  <si>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</si>
  <si>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</si>
  <si>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</si>
  <si>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</si>
  <si>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</si>
  <si>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</si>
  <si>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</si>
  <si>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</si>
  <si>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</si>
  <si>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</si>
  <si>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</si>
  <si>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</si>
  <si>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</si>
  <si>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</si>
  <si>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</si>
  <si>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</si>
  <si>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</si>
  <si>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</si>
  <si>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</si>
  <si>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</si>
  <si>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</si>
  <si>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</si>
  <si>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</si>
  <si>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</si>
  <si>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</si>
  <si>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</si>
  <si>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</si>
  <si>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</si>
  <si>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</si>
  <si>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</si>
  <si>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</si>
  <si>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</si>
  <si>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</si>
  <si>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</si>
  <si>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</si>
  <si>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</si>
  <si>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</si>
  <si>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</si>
  <si>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</si>
  <si>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</si>
  <si>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</si>
  <si>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</si>
  <si>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</si>
  <si>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</si>
  <si>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</si>
  <si>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</si>
  <si>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</si>
  <si>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</si>
  <si>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</si>
  <si>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</si>
  <si>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</si>
  <si>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</si>
  <si>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</si>
  <si>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</si>
  <si>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</si>
  <si>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</si>
  <si>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</si>
  <si>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</si>
  <si>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</si>
  <si>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</si>
  <si>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</si>
  <si>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</si>
  <si>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</si>
  <si>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</si>
  <si>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</si>
  <si>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</si>
  <si>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</si>
  <si>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</si>
  <si>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</si>
  <si>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</si>
  <si>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</si>
  <si>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</si>
  <si>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</si>
  <si>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</si>
  <si>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</si>
  <si>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</si>
  <si>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</si>
  <si>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</si>
  <si>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</si>
  <si>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</si>
  <si>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</si>
  <si>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</si>
  <si>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</si>
  <si>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</si>
  <si>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</si>
  <si>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</si>
  <si>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</si>
  <si>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</si>
  <si>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</si>
  <si>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</si>
  <si>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</si>
  <si>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</si>
  <si>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</si>
  <si>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</si>
  <si>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</si>
  <si>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</si>
  <si>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</si>
  <si>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</si>
  <si>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</si>
  <si>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</si>
  <si>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</si>
  <si>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</si>
  <si>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</si>
  <si>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</si>
  <si>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</si>
  <si>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</si>
  <si>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</si>
  <si>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</si>
  <si>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</si>
  <si>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</si>
  <si>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</si>
  <si>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</si>
  <si>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</si>
  <si>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</si>
  <si>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</si>
  <si>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</si>
  <si>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</si>
  <si>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</si>
  <si>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</si>
  <si>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</si>
  <si>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</si>
  <si>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</si>
  <si>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</si>
  <si>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</si>
  <si>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</si>
  <si>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</si>
  <si>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</si>
  <si>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</si>
  <si>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</si>
  <si>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</si>
  <si>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</si>
  <si>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</si>
  <si>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г. Киров, ул. Мира, 33-35</t>
  </si>
  <si>
    <t>01182</t>
  </si>
  <si>
    <t>233327 07</t>
  </si>
  <si>
    <t>205,417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</si>
</sst>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№ЕИ-04/02-01182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СВ-15Г, год изготовления 2007, заводской № 233327 07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24319-05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 Киров, ул. Мира, 33-35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3 %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3 %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24.5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24.3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52.5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57.4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100.2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100.2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66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66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0.03</v>
      </c>
      <c r="AD53" s="144"/>
      <c r="AE53" s="144"/>
      <c r="AF53" s="144"/>
      <c r="AG53" s="144"/>
      <c r="AH53" s="144"/>
      <c r="AI53" s="145"/>
      <c r="AJ53" s="188" t="str">
        <f>Данные!B5</f>
        <v>205,417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205.423</v>
      </c>
      <c r="AR53" s="144"/>
      <c r="AS53" s="144"/>
      <c r="AT53" s="144"/>
      <c r="AU53" s="144"/>
      <c r="AV53" s="145"/>
      <c r="AW53" s="143">
        <f ca="1">ROUNDUP(AC53*720/3600,3)</f>
        <v>6.0000000000000001E-3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5.8000000000000005E-3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3.4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3.3000000000000002E-2</v>
      </c>
      <c r="AD54" s="144"/>
      <c r="AE54" s="144"/>
      <c r="AF54" s="144"/>
      <c r="AG54" s="144"/>
      <c r="AH54" s="144"/>
      <c r="AI54" s="145"/>
      <c r="AJ54" s="143">
        <f ca="1">AQ53+RANDBETWEEN(1,3)/1000</f>
        <v>205.42500000000001</v>
      </c>
      <c r="AK54" s="144"/>
      <c r="AL54" s="144"/>
      <c r="AM54" s="144"/>
      <c r="AN54" s="144"/>
      <c r="AO54" s="144"/>
      <c r="AP54" s="145"/>
      <c r="AQ54" s="143">
        <f t="shared" ca="1" si="0"/>
        <v>205.43200000000002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6.8999999999999999E-3</v>
      </c>
      <c r="BE54" s="168"/>
      <c r="BF54" s="168"/>
      <c r="BG54" s="168"/>
      <c r="BH54" s="168"/>
      <c r="BI54" s="168"/>
      <c r="BJ54" s="169"/>
      <c r="BK54" s="146">
        <f t="shared" ca="1" si="1"/>
        <v>1.4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3.1E-2</v>
      </c>
      <c r="AD55" s="144"/>
      <c r="AE55" s="144"/>
      <c r="AF55" s="144"/>
      <c r="AG55" s="144"/>
      <c r="AH55" s="144"/>
      <c r="AI55" s="145"/>
      <c r="AJ55" s="188">
        <f ca="1">AQ54+RANDBETWEEN(1,3)/1000</f>
        <v>205.43400000000003</v>
      </c>
      <c r="AK55" s="149"/>
      <c r="AL55" s="149"/>
      <c r="AM55" s="149"/>
      <c r="AN55" s="149"/>
      <c r="AO55" s="149"/>
      <c r="AP55" s="150"/>
      <c r="AQ55" s="143">
        <f t="shared" ca="1" si="0"/>
        <v>205.44100000000003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7.0000000000000001E-3</v>
      </c>
      <c r="BE55" s="168"/>
      <c r="BF55" s="168"/>
      <c r="BG55" s="168"/>
      <c r="BH55" s="168"/>
      <c r="BI55" s="168"/>
      <c r="BJ55" s="169"/>
      <c r="BK55" s="146">
        <f t="shared" ca="1" si="1"/>
        <v>0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0.13</v>
      </c>
      <c r="AD56" s="144"/>
      <c r="AE56" s="144"/>
      <c r="AF56" s="144"/>
      <c r="AG56" s="144"/>
      <c r="AH56" s="144"/>
      <c r="AI56" s="145"/>
      <c r="AJ56" s="128">
        <f ca="1">AQ55+RANDBETWEEN(4,7)/1000</f>
        <v>205.44600000000003</v>
      </c>
      <c r="AK56" s="149"/>
      <c r="AL56" s="149"/>
      <c r="AM56" s="149"/>
      <c r="AN56" s="149"/>
      <c r="AO56" s="149"/>
      <c r="AP56" s="150"/>
      <c r="AQ56" s="143">
        <f t="shared" ca="1" si="0"/>
        <v>205.45900000000003</v>
      </c>
      <c r="AR56" s="144"/>
      <c r="AS56" s="144"/>
      <c r="AT56" s="144"/>
      <c r="AU56" s="144"/>
      <c r="AV56" s="145"/>
      <c r="AW56" s="143">
        <f ca="1">ROUNDUP(AC56*360/3600,3)</f>
        <v>1.2999999999999999E-2</v>
      </c>
      <c r="AX56" s="144"/>
      <c r="AY56" s="144"/>
      <c r="AZ56" s="144"/>
      <c r="BA56" s="144"/>
      <c r="BB56" s="144"/>
      <c r="BC56" s="145"/>
      <c r="BD56" s="131">
        <f ca="1">AW56+RANDBETWEEN(-2,2)/10000</f>
        <v>1.32E-2</v>
      </c>
      <c r="BE56" s="168"/>
      <c r="BF56" s="168"/>
      <c r="BG56" s="168"/>
      <c r="BH56" s="168"/>
      <c r="BI56" s="168"/>
      <c r="BJ56" s="169"/>
      <c r="BK56" s="146">
        <f ca="1">ROUND(((AW56-BD56)/BD56)*100,1)</f>
        <v>-1.5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0.125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205.46600000000004</v>
      </c>
      <c r="AK57" s="149"/>
      <c r="AL57" s="149"/>
      <c r="AM57" s="149"/>
      <c r="AN57" s="149"/>
      <c r="AO57" s="149"/>
      <c r="AP57" s="150"/>
      <c r="AQ57" s="143">
        <f t="shared" ca="1" si="0"/>
        <v>205.47900000000004</v>
      </c>
      <c r="AR57" s="144"/>
      <c r="AS57" s="144"/>
      <c r="AT57" s="144"/>
      <c r="AU57" s="144"/>
      <c r="AV57" s="145"/>
      <c r="AW57" s="143">
        <f ca="1">ROUNDUP(AC57*360/3600,3)</f>
        <v>1.3000000000000001E-2</v>
      </c>
      <c r="AX57" s="144"/>
      <c r="AY57" s="144"/>
      <c r="AZ57" s="144"/>
      <c r="BA57" s="144"/>
      <c r="BB57" s="144"/>
      <c r="BC57" s="145"/>
      <c r="BD57" s="131">
        <f ca="1">AW57+RANDBETWEEN(-2,2)/10000</f>
        <v>1.3000000000000001E-2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0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0.13300000000000001</v>
      </c>
      <c r="AD58" s="144"/>
      <c r="AE58" s="144"/>
      <c r="AF58" s="144"/>
      <c r="AG58" s="144"/>
      <c r="AH58" s="144"/>
      <c r="AI58" s="145"/>
      <c r="AJ58" s="128">
        <f t="shared" ca="1" si="4"/>
        <v>205.48300000000003</v>
      </c>
      <c r="AK58" s="149"/>
      <c r="AL58" s="149"/>
      <c r="AM58" s="149"/>
      <c r="AN58" s="149"/>
      <c r="AO58" s="149"/>
      <c r="AP58" s="150"/>
      <c r="AQ58" s="143">
        <f t="shared" ca="1" si="0"/>
        <v>205.49700000000004</v>
      </c>
      <c r="AR58" s="144"/>
      <c r="AS58" s="144"/>
      <c r="AT58" s="144"/>
      <c r="AU58" s="144"/>
      <c r="AV58" s="145"/>
      <c r="AW58" s="143">
        <f ca="1">ROUNDUP(AC58*360/3600,3)</f>
        <v>1.3999999999999999E-2</v>
      </c>
      <c r="AX58" s="144"/>
      <c r="AY58" s="144"/>
      <c r="AZ58" s="144"/>
      <c r="BA58" s="144"/>
      <c r="BB58" s="144"/>
      <c r="BC58" s="145"/>
      <c r="BD58" s="131">
        <f ca="1">AW58+RANDBETWEEN(-2,2)/10000</f>
        <v>1.3799999999999998E-2</v>
      </c>
      <c r="BE58" s="168"/>
      <c r="BF58" s="168"/>
      <c r="BG58" s="168"/>
      <c r="BH58" s="168"/>
      <c r="BI58" s="168"/>
      <c r="BJ58" s="169"/>
      <c r="BK58" s="146">
        <f t="shared" ca="1" si="5"/>
        <v>1.4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0.89400000000000002</v>
      </c>
      <c r="AD59" s="129"/>
      <c r="AE59" s="129"/>
      <c r="AF59" s="129"/>
      <c r="AG59" s="129"/>
      <c r="AH59" s="129"/>
      <c r="AI59" s="130"/>
      <c r="AJ59" s="153">
        <f ca="1">AQ58+RANDBETWEEN(15,18)/1000</f>
        <v>205.51300000000003</v>
      </c>
      <c r="AK59" s="154"/>
      <c r="AL59" s="154"/>
      <c r="AM59" s="154"/>
      <c r="AN59" s="154"/>
      <c r="AO59" s="154"/>
      <c r="AP59" s="155"/>
      <c r="AQ59" s="189">
        <f ca="1">AJ59+AW59</f>
        <v>205.54300000000003</v>
      </c>
      <c r="AR59" s="190"/>
      <c r="AS59" s="190"/>
      <c r="AT59" s="190"/>
      <c r="AU59" s="190"/>
      <c r="AV59" s="191"/>
      <c r="AW59" s="143">
        <f ca="1">ROUNDUP(AC59*120/3600,3)</f>
        <v>3.0000000000000002E-2</v>
      </c>
      <c r="AX59" s="151"/>
      <c r="AY59" s="151"/>
      <c r="AZ59" s="151"/>
      <c r="BA59" s="151"/>
      <c r="BB59" s="151"/>
      <c r="BC59" s="152"/>
      <c r="BD59" s="131">
        <f ca="1">AW59+RANDBETWEEN(-5,5)/10000</f>
        <v>2.9600000000000001E-2</v>
      </c>
      <c r="BE59" s="132"/>
      <c r="BF59" s="132"/>
      <c r="BG59" s="132"/>
      <c r="BH59" s="132"/>
      <c r="BI59" s="132"/>
      <c r="BJ59" s="133"/>
      <c r="BK59" s="146">
        <f ca="1">ROUND(((AW59-BD59)/BD59)*100,1)</f>
        <v>1.4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0.93600000000000005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205.55800000000002</v>
      </c>
      <c r="AK60" s="149"/>
      <c r="AL60" s="149"/>
      <c r="AM60" s="149"/>
      <c r="AN60" s="149"/>
      <c r="AO60" s="149"/>
      <c r="AP60" s="150"/>
      <c r="AQ60" s="143">
        <f t="shared" ca="1" si="0"/>
        <v>205.59000000000003</v>
      </c>
      <c r="AR60" s="144"/>
      <c r="AS60" s="144"/>
      <c r="AT60" s="144"/>
      <c r="AU60" s="144"/>
      <c r="AV60" s="145"/>
      <c r="AW60" s="143">
        <f t="shared" ref="AW60:AW61" ca="1" si="7">ROUNDUP(AC60*120/3600,3)</f>
        <v>3.2000000000000001E-2</v>
      </c>
      <c r="AX60" s="151"/>
      <c r="AY60" s="151"/>
      <c r="AZ60" s="151"/>
      <c r="BA60" s="151"/>
      <c r="BB60" s="151"/>
      <c r="BC60" s="152"/>
      <c r="BD60" s="131">
        <f ca="1">AW60+RANDBETWEEN(-5,5)/10000</f>
        <v>3.2300000000000002E-2</v>
      </c>
      <c r="BE60" s="132"/>
      <c r="BF60" s="132"/>
      <c r="BG60" s="132"/>
      <c r="BH60" s="132"/>
      <c r="BI60" s="132"/>
      <c r="BJ60" s="133"/>
      <c r="BK60" s="146">
        <f ca="1">ROUND(((AW60-BD60)/BD60)*100,1)</f>
        <v>-0.9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0.89500000000000002</v>
      </c>
      <c r="AD61" s="129"/>
      <c r="AE61" s="129"/>
      <c r="AF61" s="129"/>
      <c r="AG61" s="129"/>
      <c r="AH61" s="129"/>
      <c r="AI61" s="130"/>
      <c r="AJ61" s="91">
        <f ca="1">AQ60+RANDBETWEEN(15,18)/1000</f>
        <v>205.60800000000003</v>
      </c>
      <c r="AK61" s="92"/>
      <c r="AL61" s="92"/>
      <c r="AM61" s="92"/>
      <c r="AN61" s="92"/>
      <c r="AO61" s="92"/>
      <c r="AP61" s="93"/>
      <c r="AQ61" s="192">
        <f t="shared" ca="1" si="0"/>
        <v>205.63800000000003</v>
      </c>
      <c r="AR61" s="151"/>
      <c r="AS61" s="151"/>
      <c r="AT61" s="151"/>
      <c r="AU61" s="151"/>
      <c r="AV61" s="152"/>
      <c r="AW61" s="143">
        <f t="shared" ca="1" si="7"/>
        <v>3.0000000000000002E-2</v>
      </c>
      <c r="AX61" s="151"/>
      <c r="AY61" s="151"/>
      <c r="AZ61" s="151"/>
      <c r="BA61" s="151"/>
      <c r="BB61" s="151"/>
      <c r="BC61" s="152"/>
      <c r="BD61" s="131">
        <f ca="1">AW61+RANDBETWEEN(-5,5)/10000</f>
        <v>3.0500000000000003E-2</v>
      </c>
      <c r="BE61" s="132"/>
      <c r="BF61" s="132"/>
      <c r="BG61" s="132"/>
      <c r="BH61" s="132"/>
      <c r="BI61" s="132"/>
      <c r="BJ61" s="133"/>
      <c r="BK61" s="146">
        <f ca="1">ROUND(((AW61-BD61)/BD61)*100,1)</f>
        <v>-1.6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45929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130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268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2007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269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270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267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45929</v>
      </c>
      <c r="C9" s="13"/>
      <c r="D9" s="13"/>
      <c r="E9" s="13"/>
    </row>
    <row r="10" spans="1:21" ht="18" x14ac:dyDescent="0.35">
      <c r="A10" s="11" t="s">
        <v>15</v>
      </c>
      <c r="B10" s="76">
        <v>24.5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52.5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100.2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66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45930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19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User</cp:lastModifiedBy>
  <cp:lastPrinted>2025-09-30T15:50:50Z</cp:lastPrinted>
  <dcterms:created xsi:type="dcterms:W3CDTF">2015-01-22T18:16:29Z</dcterms:created>
  <dcterms:modified xsi:type="dcterms:W3CDTF">2025-09-30T15:52:10Z</dcterms:modified>
</cp:coreProperties>
</file>