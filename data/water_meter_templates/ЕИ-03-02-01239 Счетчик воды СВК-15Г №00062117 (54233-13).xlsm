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2_09_2025\"/>
    </mc:Choice>
  </mc:AlternateContent>
  <xr:revisionPtr revIDLastSave="0" documentId="13_ncr:1_{A517EB4A-AB76-4DF6-A11F-53A5DC626F0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<sst xmlns="http://schemas.openxmlformats.org/spreadsheetml/2006/main" count="499" uniqueCount="271">
  <si>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</si>
  <si>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</si>
  <si>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</si>
  <si>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</si>
  <si>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</si>
  <si>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</si>
  <si>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</si>
  <si>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</si>
  <si>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</si>
  <si>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</si>
  <si>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</si>
  <si>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</si>
  <si>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</si>
  <si>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</si>
  <si>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</si>
  <si>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</si>
  <si>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</si>
  <si>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</si>
  <si>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</si>
  <si>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</si>
  <si>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</si>
  <si>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</si>
  <si>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</si>
  <si>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</si>
  <si>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</si>
  <si>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</si>
  <si>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</si>
  <si>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</si>
  <si>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</si>
  <si>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</si>
  <si>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</si>
  <si>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</si>
  <si>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</si>
  <si>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</si>
  <si>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</si>
  <si>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</si>
  <si>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</si>
  <si>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</si>
  <si>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</si>
  <si>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</si>
  <si>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</si>
  <si>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</si>
  <si>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</si>
  <si>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</si>
  <si>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</si>
  <si>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</si>
  <si>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</si>
  <si>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</si>
  <si>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</si>
  <si>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</si>
  <si>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</si>
  <si>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</si>
  <si>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</si>
  <si>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</si>
  <si>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</si>
  <si>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</si>
  <si>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</si>
  <si>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</si>
  <si>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</si>
  <si>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</si>
  <si>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</si>
  <si>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</si>
  <si>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</si>
  <si>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</si>
  <si>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</si>
  <si>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</si>
  <si>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</si>
  <si>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</si>
  <si>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</si>
  <si>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</si>
  <si>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</si>
  <si>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</si>
  <si>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</si>
  <si>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</si>
  <si>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</si>
  <si>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</si>
  <si>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</si>
  <si>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</si>
  <si>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</si>
  <si>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</si>
  <si>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</si>
  <si>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</si>
  <si>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</si>
  <si>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</si>
  <si>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</si>
  <si>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</si>
  <si>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</si>
  <si>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</si>
  <si>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</si>
  <si>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</si>
  <si>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</si>
  <si>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</si>
  <si>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</si>
  <si>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</si>
  <si>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</si>
  <si>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</si>
  <si>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</si>
  <si>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</si>
  <si>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</si>
  <si>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</si>
  <si>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</si>
  <si>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</si>
  <si>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</si>
  <si>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</si>
  <si>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</si>
  <si>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</si>
  <si>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</si>
  <si>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</si>
  <si>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</si>
  <si>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</si>
  <si>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</si>
  <si>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</si>
  <si>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</si>
  <si>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</si>
  <si>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</si>
  <si>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</si>
  <si>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</si>
  <si>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</si>
  <si>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</si>
  <si>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</si>
  <si>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</si>
  <si>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</si>
  <si>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</si>
  <si>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</si>
  <si>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</si>
  <si>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</si>
  <si>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</si>
  <si>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</si>
  <si>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</si>
  <si>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</si>
  <si>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</si>
  <si>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</si>
  <si>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</si>
  <si>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</si>
  <si>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</si>
  <si>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</si>
  <si>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</si>
  <si>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</si>
  <si>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</si>
  <si>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</si>
  <si>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</si>
  <si>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</si>
  <si>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</si>
  <si>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</si>
  <si>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</si>
  <si>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</si>
  <si>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</si>
  <si>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</si>
  <si>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</si>
  <si>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</si>
  <si>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</si>
  <si>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</si>
  <si>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</si>
  <si>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</si>
  <si>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</si>
  <si>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</si>
  <si>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</si>
  <si>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</si>
  <si>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</si>
  <si>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</si>
  <si>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</si>
  <si>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</si>
  <si>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</si>
  <si>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</si>
  <si>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</si>
  <si>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</si>
  <si>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</si>
  <si>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</si>
  <si>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</si>
  <si>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</si>
  <si>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</si>
  <si>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</si>
  <si>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</si>
  <si>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</si>
  <si>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</si>
  <si>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</si>
  <si>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</si>
  <si>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</si>
  <si>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</si>
  <si>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</si>
  <si>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</si>
  <si>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</si>
  <si>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</si>
  <si>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</si>
  <si>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</si>
  <si>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</si>
  <si>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</si>
  <si>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</si>
  <si>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</si>
  <si>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</si>
  <si>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</si>
  <si>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</si>
  <si>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</si>
  <si>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</si>
  <si>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</si>
  <si>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</si>
  <si>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</si>
  <si>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</si>
  <si>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</si>
  <si>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</si>
  <si>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</si>
  <si>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</si>
  <si>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</si>
  <si>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</si>
  <si>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</si>
  <si>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</si>
  <si>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</si>
  <si>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</si>
  <si>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</si>
  <si>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</si>
  <si>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</si>
  <si>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</si>
  <si>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</si>
  <si>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</si>
  <si>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</si>
  <si>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</si>
  <si>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</si>
  <si>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</si>
  <si>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</si>
  <si>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</si>
  <si>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</si>
  <si>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</si>
  <si>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</si>
  <si>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</si>
  <si>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</si>
  <si>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</si>
  <si>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</si>
  <si>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</si>
  <si>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</si>
  <si>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</si>
  <si>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</si>
  <si>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</si>
  <si>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</si>
  <si>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</si>
  <si>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</si>
  <si>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</si>
  <si>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</si>
  <si>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</si>
  <si>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</si>
  <si>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</si>
  <si>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</si>
  <si>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</si>
  <si>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</si>
  <si>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</si>
  <si>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</si>
  <si>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</si>
  <si>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</si>
  <si>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</si>
  <si>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</si>
  <si>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</si>
  <si>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</si>
  <si>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</si>
  <si>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</si>
  <si>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</si>
  <si>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</si>
  <si>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</si>
  <si>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</si>
  <si>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</si>
  <si>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</si>
  <si>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</si>
  <si>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</si>
  <si>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</si>
  <si>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</si>
  <si>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</si>
  <si>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</si>
  <si>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</si>
  <si>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</si>
  <si>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Широтная, 4-179</t>
  </si>
  <si>
    <t>00062117</t>
  </si>
  <si>
    <t>40,966</t>
  </si>
  <si>
    <t>01239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</si>
</sst>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№ЕИ-04/02-01239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2014, заводской № 00062117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Широтная, 4-179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25.4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26.799999999999997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53.2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62.1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102.3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102.3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60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60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 t="str">
        <f>Данные!B5</f>
        <v>40,966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40.972999999999999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3.3000000000000002E-2</v>
      </c>
      <c r="AD54" s="144"/>
      <c r="AE54" s="144"/>
      <c r="AF54" s="144"/>
      <c r="AG54" s="144"/>
      <c r="AH54" s="144"/>
      <c r="AI54" s="145"/>
      <c r="AJ54" s="143">
        <f ca="1">AQ53+RANDBETWEEN(1,3)/1000</f>
        <v>40.975999999999999</v>
      </c>
      <c r="AK54" s="144"/>
      <c r="AL54" s="144"/>
      <c r="AM54" s="144"/>
      <c r="AN54" s="144"/>
      <c r="AO54" s="144"/>
      <c r="AP54" s="145"/>
      <c r="AQ54" s="143">
        <f t="shared" ca="1" si="0"/>
        <v>40.982999999999997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6.8000000000000005E-3</v>
      </c>
      <c r="BE54" s="168"/>
      <c r="BF54" s="168"/>
      <c r="BG54" s="168"/>
      <c r="BH54" s="168"/>
      <c r="BI54" s="168"/>
      <c r="BJ54" s="169"/>
      <c r="BK54" s="146">
        <f t="shared" ca="1" si="1"/>
        <v>2.9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0.03</v>
      </c>
      <c r="AD55" s="144"/>
      <c r="AE55" s="144"/>
      <c r="AF55" s="144"/>
      <c r="AG55" s="144"/>
      <c r="AH55" s="144"/>
      <c r="AI55" s="145"/>
      <c r="AJ55" s="188">
        <f ca="1">AQ54+RANDBETWEEN(1,3)/1000</f>
        <v>40.985999999999997</v>
      </c>
      <c r="AK55" s="149"/>
      <c r="AL55" s="149"/>
      <c r="AM55" s="149"/>
      <c r="AN55" s="149"/>
      <c r="AO55" s="149"/>
      <c r="AP55" s="150"/>
      <c r="AQ55" s="143">
        <f t="shared" ca="1" si="0"/>
        <v>40.991999999999997</v>
      </c>
      <c r="AR55" s="144"/>
      <c r="AS55" s="144"/>
      <c r="AT55" s="144"/>
      <c r="AU55" s="144"/>
      <c r="AV55" s="145"/>
      <c r="AW55" s="143">
        <f t="shared" ref="AW55" ca="1" si="3">ROUNDUP(AC55*720/3600,3)</f>
        <v>6.0000000000000001E-3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6.1999999999999998E-3</v>
      </c>
      <c r="BE55" s="168"/>
      <c r="BF55" s="168"/>
      <c r="BG55" s="168"/>
      <c r="BH55" s="168"/>
      <c r="BI55" s="168"/>
      <c r="BJ55" s="169"/>
      <c r="BK55" s="146">
        <f t="shared" ca="1" si="1"/>
        <v>-3.2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0.13300000000000001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40.995999999999995</v>
      </c>
      <c r="AK56" s="149"/>
      <c r="AL56" s="149"/>
      <c r="AM56" s="149"/>
      <c r="AN56" s="149"/>
      <c r="AO56" s="149"/>
      <c r="AP56" s="150"/>
      <c r="AQ56" s="143">
        <f t="shared" ca="1" si="0"/>
        <v>41.01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1.3999999999999999E-2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0.13400000000000001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41.015999999999998</v>
      </c>
      <c r="AK57" s="149"/>
      <c r="AL57" s="149"/>
      <c r="AM57" s="149"/>
      <c r="AN57" s="149"/>
      <c r="AO57" s="149"/>
      <c r="AP57" s="150"/>
      <c r="AQ57" s="143">
        <f t="shared" ca="1" si="0"/>
        <v>41.03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1.3899999999999999E-2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0.127</v>
      </c>
      <c r="AD58" s="144"/>
      <c r="AE58" s="144"/>
      <c r="AF58" s="144"/>
      <c r="AG58" s="144"/>
      <c r="AH58" s="144"/>
      <c r="AI58" s="145"/>
      <c r="AJ58" s="128">
        <f t="shared" ca="1" si="4"/>
        <v>41.035000000000004</v>
      </c>
      <c r="AK58" s="149"/>
      <c r="AL58" s="149"/>
      <c r="AM58" s="149"/>
      <c r="AN58" s="149"/>
      <c r="AO58" s="149"/>
      <c r="AP58" s="150"/>
      <c r="AQ58" s="143">
        <f t="shared" ca="1" si="0"/>
        <v>41.048000000000002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1.2800000000000001E-2</v>
      </c>
      <c r="BE58" s="168"/>
      <c r="BF58" s="168"/>
      <c r="BG58" s="168"/>
      <c r="BH58" s="168"/>
      <c r="BI58" s="168"/>
      <c r="BJ58" s="169"/>
      <c r="BK58" s="146">
        <f t="shared" ca="1" si="5"/>
        <v>1.6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0.91200000000000003</v>
      </c>
      <c r="AD59" s="129"/>
      <c r="AE59" s="129"/>
      <c r="AF59" s="129"/>
      <c r="AG59" s="129"/>
      <c r="AH59" s="129"/>
      <c r="AI59" s="130"/>
      <c r="AJ59" s="153">
        <f ca="1">AQ58+RANDBETWEEN(15,18)/1000</f>
        <v>41.065000000000005</v>
      </c>
      <c r="AK59" s="154"/>
      <c r="AL59" s="154"/>
      <c r="AM59" s="154"/>
      <c r="AN59" s="154"/>
      <c r="AO59" s="154"/>
      <c r="AP59" s="155"/>
      <c r="AQ59" s="189">
        <f ca="1">AJ59+AW59</f>
        <v>41.096000000000004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0.90800000000000003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41.111000000000004</v>
      </c>
      <c r="AK60" s="149"/>
      <c r="AL60" s="149"/>
      <c r="AM60" s="149"/>
      <c r="AN60" s="149"/>
      <c r="AO60" s="149"/>
      <c r="AP60" s="150"/>
      <c r="AQ60" s="143">
        <f t="shared" ca="1" si="0"/>
        <v>41.142000000000003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3.1199999999999999E-2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0.90500000000000003</v>
      </c>
      <c r="AD61" s="129"/>
      <c r="AE61" s="129"/>
      <c r="AF61" s="129"/>
      <c r="AG61" s="129"/>
      <c r="AH61" s="129"/>
      <c r="AI61" s="130"/>
      <c r="AJ61" s="91">
        <f ca="1">AQ60+RANDBETWEEN(15,18)/1000</f>
        <v>41.158000000000001</v>
      </c>
      <c r="AK61" s="92"/>
      <c r="AL61" s="92"/>
      <c r="AM61" s="92"/>
      <c r="AN61" s="92"/>
      <c r="AO61" s="92"/>
      <c r="AP61" s="93"/>
      <c r="AQ61" s="192">
        <f t="shared" ca="1" si="0"/>
        <v>41.189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3.1199999999999999E-2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-0.6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45932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2025-10-08T15:09:44Z</cp:lastPrinted>
  <dcterms:created xsi:type="dcterms:W3CDTF">2015-01-22T18:16:29Z</dcterms:created>
  <dcterms:modified xsi:type="dcterms:W3CDTF">2025-10-08T15:09:50Z</dcterms:modified>
</cp:coreProperties>
</file>