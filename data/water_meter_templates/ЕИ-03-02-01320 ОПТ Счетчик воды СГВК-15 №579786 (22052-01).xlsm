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F5A94F70-CF05-41CB-9FD4-61EF959C38F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<sst xmlns="http://schemas.openxmlformats.org/spreadsheetml/2006/main" count="419" uniqueCount="244">
  <si>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</si>
  <si>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</si>
  <si>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</si>
  <si>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</si>
  <si>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</si>
  <si>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</si>
  <si>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</si>
  <si>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</si>
  <si>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</si>
  <si>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</si>
  <si>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</si>
  <si>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</si>
  <si>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</si>
  <si>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</si>
  <si>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</si>
  <si>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</si>
  <si>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</si>
  <si>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</si>
  <si>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</si>
  <si>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</si>
  <si>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</si>
  <si>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</si>
  <si>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</si>
  <si>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</si>
  <si>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</si>
  <si>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</si>
  <si>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</si>
  <si>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</si>
  <si>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</si>
  <si>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</si>
  <si>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</si>
  <si>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</si>
  <si>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</si>
  <si>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</si>
  <si>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</si>
  <si>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</si>
  <si>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</si>
  <si>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</si>
  <si>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</si>
  <si>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</si>
  <si>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</si>
  <si>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</si>
  <si>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</si>
  <si>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</si>
  <si>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</si>
  <si>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</si>
  <si>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</si>
  <si>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</si>
  <si>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</si>
  <si>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</si>
  <si>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</si>
  <si>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</si>
  <si>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</si>
  <si>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</si>
  <si>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</si>
  <si>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</si>
  <si>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</si>
  <si>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</si>
  <si>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</si>
  <si>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</si>
  <si>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</si>
  <si>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</si>
  <si>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</si>
  <si>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</si>
  <si>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</si>
  <si>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</si>
  <si>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</si>
  <si>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</si>
  <si>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</si>
  <si>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</si>
  <si>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</si>
  <si>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</si>
  <si>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</si>
  <si>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</si>
  <si>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</si>
  <si>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</si>
  <si>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</si>
  <si>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</si>
  <si>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</si>
  <si>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</si>
  <si>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</si>
  <si>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</si>
  <si>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</si>
  <si>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</si>
  <si>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</si>
  <si>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</si>
  <si>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</si>
  <si>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</si>
  <si>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</si>
  <si>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</si>
  <si>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</si>
  <si>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</si>
  <si>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</si>
  <si>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</si>
  <si>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</si>
  <si>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</si>
  <si>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</si>
  <si>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</si>
  <si>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</si>
  <si>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</si>
  <si>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</si>
  <si>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</si>
  <si>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</si>
  <si>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</si>
  <si>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</si>
  <si>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</si>
  <si>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</si>
  <si>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</si>
  <si>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</si>
  <si>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</si>
  <si>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</si>
  <si>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</si>
  <si>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</si>
  <si>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</si>
  <si>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</si>
  <si>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</si>
  <si>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</si>
  <si>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</si>
  <si>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</si>
  <si>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</si>
  <si>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</si>
  <si>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</si>
  <si>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</si>
  <si>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</si>
  <si>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</si>
  <si>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</si>
  <si>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</si>
  <si>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</si>
  <si>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</si>
  <si>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</si>
  <si>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</si>
  <si>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</si>
  <si>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</si>
  <si>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</si>
  <si>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</si>
  <si>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</si>
  <si>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</si>
  <si>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</si>
  <si>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</si>
  <si>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</si>
  <si>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</si>
  <si>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</si>
  <si>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</si>
  <si>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</si>
  <si>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</si>
  <si>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</si>
  <si>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</si>
  <si>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</si>
  <si>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</si>
  <si>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</si>
  <si>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</si>
  <si>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</si>
  <si>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</si>
  <si>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</si>
  <si>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</si>
  <si>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</si>
  <si>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</si>
  <si>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</si>
  <si>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</si>
  <si>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</si>
  <si>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</si>
  <si>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</si>
  <si>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</si>
  <si>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</si>
  <si>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</si>
  <si>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</si>
  <si>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</si>
  <si>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</si>
  <si>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</si>
  <si>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</si>
  <si>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</si>
  <si>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</si>
  <si>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</si>
  <si>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</si>
  <si>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</si>
  <si>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</si>
  <si>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</si>
  <si>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</si>
  <si>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</si>
  <si>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</si>
  <si>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</si>
  <si>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</si>
  <si>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</si>
  <si>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</si>
  <si>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</si>
  <si>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</si>
  <si>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</si>
  <si>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</si>
  <si>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</si>
  <si>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</si>
  <si>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</si>
  <si>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</si>
  <si>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</si>
  <si>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</si>
  <si>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</si>
  <si>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</si>
  <si>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</si>
  <si>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</si>
  <si>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</si>
  <si>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</si>
  <si>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</si>
  <si>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</si>
  <si>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</si>
  <si>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</si>
  <si>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</si>
  <si>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</si>
  <si>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</si>
  <si>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</si>
  <si>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</si>
  <si>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</si>
  <si>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</si>
  <si>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</si>
  <si>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</si>
  <si>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</si>
  <si>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</si>
  <si>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</si>
  <si>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</si>
  <si>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</si>
  <si>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</si>
  <si>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</si>
  <si>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</si>
  <si>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</si>
  <si>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</si>
  <si>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</si>
  <si>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</si>
  <si>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</si>
  <si>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</si>
  <si>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</si>
  <si>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</si>
  <si>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</si>
  <si>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</si>
  <si>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</si>
  <si>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</si>
  <si>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</si>
  <si>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ВСКМ-15</t>
  </si>
  <si>
    <t>66635-17</t>
  </si>
  <si>
    <t>ВСКМ -15 66635-17</t>
  </si>
  <si>
    <t>01320</t>
  </si>
  <si>
    <t>СГВК-15</t>
  </si>
  <si>
    <t>СГВК-15 22052-01</t>
  </si>
  <si>
    <t>22052-01</t>
  </si>
  <si>
    <t>579786</t>
  </si>
  <si>
    <t>992,682</t>
  </si>
  <si>
    <t>г.Яранск, ул. Кирова, 48а-1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</si>
</sst>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4" totalsRowShown="0" headerRowBorderDxfId="16" tableBorderDxfId="15">
  <autoFilter ref="K53:W104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№ЕИ-04/02-01320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",INDEX(Данные!$K$54:$W$101,Данные!K52,13),", год изготовления ",Данные!B3,", заводской № ",Данные!B4)</f>
        <v>периодической поверки СИ - счетчик воды СГВК-15, год изготовления 2003, заводской № 579786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",INDEX(Данные!$K$54:$W$101,Данные!K52,12))</f>
        <v>Регистрационный номер средства измерений в ФИФ ОЕИ: 22052-01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 Кирова, 48а-1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",INDEX(Данные!$K$54:$W$101,Данные!K52,3)*2," м3/ч до ",INDEX(Данные!$K$54:$W$101,Данные!K52,7),"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",INDEX(Данные!$K$54:$W$101,Данные!K52,3)," м3/ч до ",INDEX(Данные!$K$54:$W$101,Данные!K52,7),"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",INDEX(Данные!$K$54:$W$101,Данные!K52,3)*2," м3/ч до ",INDEX(Данные!$K$54:$W$101,Данные!K52,4)," м3/ч : ± ",INDEX(Данные!$K$54:$W$101,Данные!K52,8),"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",INDEX(Данные!$K$54:$W$101,Данные!K52,4)," м3/ч до ",INDEX(Данные!$K$54:$W$101,Данные!K52,7)," м3/ч : ± ",INDEX(Данные!$K$54:$W$101,Данные!K52,9),"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",INDEX(Данные!$K$54:$W$101,Данные!K52,3)," м3/ч до ",INDEX(Данные!$K$54:$W$101,Данные!K52,5)," м3/ч : ± ",INDEX(Данные!$K$54:$W$101,Данные!K52,8),"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",INDEX(Данные!$K$54:$W$101,Данные!K52,5)," м3/ч до ",INDEX(Данные!$K$54:$W$101,Данные!K52,7)," м3/ч : ± ",INDEX(Данные!$K$54:$W$101,Данные!K52,9),"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26.7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101.5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111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60.1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60.1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INDEX(Данные!$K$54:$W$101,Данные!K52,2)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992,682</v>
      </c>
      <c r="AK53" s="199"/>
      <c r="AL53" s="199"/>
      <c r="AM53" s="199"/>
      <c r="AN53" s="199"/>
      <c r="AO53" s="199"/>
      <c r="AP53" s="90"/>
      <c r="AQ53" s="198">
        <f ca="1">AJ53+AW53</f>
        <v>992.68899999999996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992.69299999999998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992.70699999999999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1.3999999999999999E-2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0.89600000000000002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992.72299999999996</v>
      </c>
      <c r="AK55" s="183"/>
      <c r="AL55" s="183"/>
      <c r="AM55" s="183"/>
      <c r="AN55" s="183"/>
      <c r="AO55" s="183"/>
      <c r="AP55" s="90"/>
      <c r="AQ55" s="128">
        <f t="shared" ca="1" si="0"/>
        <v>992.75299999999993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2.9800000000000004E-2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0.7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45946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8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239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241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242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243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101.5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60.1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45953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MATCH(B1,K54:K101,0)</f>
        <v>8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68" t="s">
        <v>239</v>
      </c>
      <c r="L61" s="69" t="s">
        <v>165</v>
      </c>
      <c r="M61" s="70">
        <v>0.03</v>
      </c>
      <c r="N61" s="70">
        <v>0.15</v>
      </c>
      <c r="O61" s="70">
        <v>0.12</v>
      </c>
      <c r="P61" s="70">
        <v>1.5</v>
      </c>
      <c r="Q61" s="70">
        <v>3</v>
      </c>
      <c r="R61" s="70">
        <v>5</v>
      </c>
      <c r="S61" s="70">
        <v>2</v>
      </c>
      <c r="T61" s="71" t="s">
        <v>34</v>
      </c>
      <c r="U61" s="71" t="s">
        <v>35</v>
      </c>
      <c r="V61" s="71" t="s">
        <v>240</v>
      </c>
      <c r="W61" s="68" t="s">
        <v>238</v>
      </c>
      <c r="X61" s="7"/>
    </row>
    <row r="62" spans="11:24" s="60" customFormat="1" x14ac:dyDescent="0.3">
      <c r="K62" s="55" t="s">
        <v>232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67</v>
      </c>
      <c r="W62" s="55" t="s">
        <v>227</v>
      </c>
      <c r="X62" s="7"/>
    </row>
    <row r="63" spans="11:24" s="60" customFormat="1" x14ac:dyDescent="0.3">
      <c r="K63" s="55" t="s">
        <v>226</v>
      </c>
      <c r="L63" s="69" t="s">
        <v>165</v>
      </c>
      <c r="M63" s="28">
        <v>0.05</v>
      </c>
      <c r="N63" s="28">
        <v>0.25</v>
      </c>
      <c r="O63" s="28">
        <v>0.2</v>
      </c>
      <c r="P63" s="28">
        <v>2.5</v>
      </c>
      <c r="Q63" s="28">
        <v>5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37</v>
      </c>
      <c r="W63" s="55" t="s">
        <v>227</v>
      </c>
      <c r="X63" s="7"/>
    </row>
    <row r="64" spans="11:24" s="60" customFormat="1" x14ac:dyDescent="0.3">
      <c r="K64" s="55" t="s">
        <v>173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171</v>
      </c>
      <c r="W64" s="55" t="s">
        <v>172</v>
      </c>
      <c r="X64" s="7"/>
    </row>
    <row r="65" spans="11:24" s="60" customFormat="1" x14ac:dyDescent="0.3">
      <c r="K65" s="55" t="s">
        <v>132</v>
      </c>
      <c r="L65" s="69" t="s">
        <v>165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133</v>
      </c>
      <c r="W65" s="55" t="s">
        <v>134</v>
      </c>
      <c r="X65" s="7"/>
    </row>
    <row r="66" spans="11:24" s="60" customFormat="1" x14ac:dyDescent="0.3">
      <c r="K66" s="55" t="s">
        <v>216</v>
      </c>
      <c r="L66" s="69" t="s">
        <v>217</v>
      </c>
      <c r="M66" s="28">
        <v>0.05</v>
      </c>
      <c r="N66" s="28">
        <v>0.25</v>
      </c>
      <c r="O66" s="28">
        <v>0.2</v>
      </c>
      <c r="P66" s="28">
        <v>2.5</v>
      </c>
      <c r="Q66" s="28">
        <v>5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218</v>
      </c>
      <c r="X66" s="7"/>
    </row>
    <row r="67" spans="11:24" s="60" customFormat="1" x14ac:dyDescent="0.3">
      <c r="K67" s="55" t="s">
        <v>120</v>
      </c>
      <c r="L67" s="69" t="s">
        <v>217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121</v>
      </c>
      <c r="W67" s="55" t="s">
        <v>122</v>
      </c>
      <c r="X67" s="7"/>
    </row>
    <row r="68" spans="11:24" s="60" customFormat="1" x14ac:dyDescent="0.3">
      <c r="K68" s="55" t="s">
        <v>128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129</v>
      </c>
      <c r="W68" s="55" t="s">
        <v>93</v>
      </c>
      <c r="X68" s="7"/>
    </row>
    <row r="69" spans="11:24" s="60" customFormat="1" x14ac:dyDescent="0.3">
      <c r="K69" s="55" t="s">
        <v>126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127</v>
      </c>
      <c r="W69" s="55" t="s">
        <v>93</v>
      </c>
      <c r="X69" s="7"/>
    </row>
    <row r="70" spans="11:24" s="60" customFormat="1" x14ac:dyDescent="0.3">
      <c r="K70" s="55" t="s">
        <v>91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92</v>
      </c>
      <c r="W70" s="55" t="s">
        <v>122</v>
      </c>
      <c r="X70" s="7"/>
    </row>
    <row r="71" spans="11:24" s="60" customFormat="1" x14ac:dyDescent="0.3">
      <c r="K71" s="55" t="s">
        <v>154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153</v>
      </c>
      <c r="W71" s="55" t="s">
        <v>122</v>
      </c>
      <c r="X71" s="7"/>
    </row>
    <row r="72" spans="11:24" s="60" customFormat="1" ht="19.2" customHeight="1" x14ac:dyDescent="0.3">
      <c r="K72" s="55" t="s">
        <v>211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2</v>
      </c>
      <c r="T72" s="29" t="s">
        <v>34</v>
      </c>
      <c r="U72" s="29" t="s">
        <v>35</v>
      </c>
      <c r="V72" s="29" t="s">
        <v>209</v>
      </c>
      <c r="W72" s="55" t="s">
        <v>210</v>
      </c>
      <c r="X72" s="7"/>
    </row>
    <row r="73" spans="11:24" s="60" customFormat="1" x14ac:dyDescent="0.3">
      <c r="K73" s="68" t="s">
        <v>130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131</v>
      </c>
      <c r="X73" s="7"/>
    </row>
    <row r="74" spans="11:24" s="60" customFormat="1" x14ac:dyDescent="0.3">
      <c r="K74" s="68" t="s">
        <v>108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109</v>
      </c>
      <c r="W74" s="68" t="s">
        <v>110</v>
      </c>
      <c r="X74" s="7"/>
    </row>
    <row r="75" spans="11:24" s="60" customFormat="1" x14ac:dyDescent="0.3">
      <c r="K75" s="77" t="s">
        <v>205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29" t="s">
        <v>202</v>
      </c>
      <c r="W75" s="55" t="s">
        <v>204</v>
      </c>
      <c r="X75" s="7"/>
    </row>
    <row r="76" spans="11:24" s="60" customFormat="1" x14ac:dyDescent="0.3">
      <c r="K76" s="68" t="s">
        <v>180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181</v>
      </c>
      <c r="W76" s="68" t="s">
        <v>182</v>
      </c>
      <c r="X76" s="7"/>
    </row>
    <row r="77" spans="11:24" s="60" customFormat="1" ht="20.399999999999999" x14ac:dyDescent="0.3">
      <c r="K77" s="68" t="s">
        <v>178</v>
      </c>
      <c r="L77" s="69" t="s">
        <v>165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177</v>
      </c>
      <c r="W77" s="68" t="s">
        <v>179</v>
      </c>
      <c r="X77" s="7"/>
    </row>
    <row r="78" spans="11:24" s="60" customFormat="1" x14ac:dyDescent="0.3">
      <c r="K78" s="68" t="s">
        <v>118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117</v>
      </c>
      <c r="W78" s="68" t="s">
        <v>119</v>
      </c>
      <c r="X78" s="7"/>
    </row>
    <row r="79" spans="11:24" s="60" customFormat="1" x14ac:dyDescent="0.3">
      <c r="K79" s="68" t="s">
        <v>183</v>
      </c>
      <c r="L79" s="69" t="s">
        <v>165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184</v>
      </c>
      <c r="W79" s="68" t="s">
        <v>185</v>
      </c>
      <c r="X79" s="7"/>
    </row>
    <row r="80" spans="11:24" s="60" customFormat="1" ht="34.200000000000003" customHeight="1" x14ac:dyDescent="0.3">
      <c r="K80" s="68" t="s">
        <v>149</v>
      </c>
      <c r="L80" s="75" t="s">
        <v>152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150</v>
      </c>
      <c r="W80" s="68" t="s">
        <v>151</v>
      </c>
      <c r="X80" s="7"/>
    </row>
    <row r="81" spans="11:24" s="60" customFormat="1" x14ac:dyDescent="0.3">
      <c r="K81" s="68" t="s">
        <v>147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146</v>
      </c>
      <c r="W81" s="68" t="s">
        <v>148</v>
      </c>
      <c r="X81" s="7"/>
    </row>
    <row r="82" spans="11:24" s="60" customFormat="1" x14ac:dyDescent="0.3">
      <c r="K82" s="68" t="s">
        <v>144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145</v>
      </c>
      <c r="X82" s="7"/>
    </row>
    <row r="83" spans="11:24" s="60" customFormat="1" x14ac:dyDescent="0.3">
      <c r="K83" s="68" t="s">
        <v>141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142</v>
      </c>
      <c r="W83" s="68" t="s">
        <v>143</v>
      </c>
      <c r="X83" s="7"/>
    </row>
    <row r="84" spans="11:24" s="60" customFormat="1" x14ac:dyDescent="0.3">
      <c r="K84" s="68" t="s">
        <v>160</v>
      </c>
      <c r="L84" s="69" t="s">
        <v>165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29" t="s">
        <v>161</v>
      </c>
      <c r="W84" s="55" t="s">
        <v>162</v>
      </c>
      <c r="X84" s="7"/>
    </row>
    <row r="85" spans="11:24" s="60" customFormat="1" ht="20.399999999999999" x14ac:dyDescent="0.3">
      <c r="K85" s="68" t="s">
        <v>135</v>
      </c>
      <c r="L85" s="75" t="s">
        <v>137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136</v>
      </c>
      <c r="W85" s="68" t="s">
        <v>138</v>
      </c>
      <c r="X85" s="7"/>
    </row>
    <row r="86" spans="11:24" s="60" customFormat="1" x14ac:dyDescent="0.3">
      <c r="K86" s="68" t="s">
        <v>196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197</v>
      </c>
      <c r="X86" s="7"/>
    </row>
    <row r="87" spans="11:24" s="60" customFormat="1" x14ac:dyDescent="0.3">
      <c r="K87" s="68" t="s">
        <v>219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220</v>
      </c>
      <c r="X87" s="7"/>
    </row>
    <row r="88" spans="11:24" s="60" customFormat="1" x14ac:dyDescent="0.3">
      <c r="K88" s="68" t="s">
        <v>114</v>
      </c>
      <c r="L88" s="69" t="s">
        <v>165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115</v>
      </c>
      <c r="W88" s="68" t="s">
        <v>116</v>
      </c>
      <c r="X88" s="7"/>
    </row>
    <row r="89" spans="11:24" s="60" customFormat="1" x14ac:dyDescent="0.3">
      <c r="K89" s="68" t="s">
        <v>158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159</v>
      </c>
      <c r="X89" s="7"/>
    </row>
    <row r="90" spans="11:24" s="60" customFormat="1" x14ac:dyDescent="0.3">
      <c r="K90" s="68" t="s">
        <v>155</v>
      </c>
      <c r="L90" s="69" t="s">
        <v>166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156</v>
      </c>
      <c r="W90" s="68" t="s">
        <v>157</v>
      </c>
      <c r="X90" s="7"/>
    </row>
    <row r="91" spans="11:24" s="60" customFormat="1" ht="19.2" customHeight="1" x14ac:dyDescent="0.3">
      <c r="K91" s="68" t="s">
        <v>186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187</v>
      </c>
      <c r="W91" s="68" t="s">
        <v>188</v>
      </c>
      <c r="X91" s="7"/>
    </row>
    <row r="92" spans="11:24" s="60" customFormat="1" ht="19.2" customHeight="1" x14ac:dyDescent="0.3">
      <c r="K92" s="68" t="s">
        <v>221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222</v>
      </c>
      <c r="W92" s="68" t="s">
        <v>223</v>
      </c>
      <c r="X92" s="7"/>
    </row>
    <row r="93" spans="11:24" s="60" customFormat="1" ht="19.2" customHeight="1" x14ac:dyDescent="0.3">
      <c r="K93" s="68" t="s">
        <v>236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235</v>
      </c>
      <c r="W93" s="68" t="s">
        <v>234</v>
      </c>
      <c r="X93" s="7"/>
    </row>
    <row r="94" spans="11:24" s="60" customFormat="1" x14ac:dyDescent="0.3">
      <c r="K94" s="68" t="s">
        <v>174</v>
      </c>
      <c r="L94" s="69" t="s">
        <v>165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176</v>
      </c>
      <c r="W94" s="68" t="s">
        <v>175</v>
      </c>
      <c r="X94" s="7"/>
    </row>
    <row r="95" spans="11:24" s="60" customFormat="1" x14ac:dyDescent="0.3">
      <c r="K95" s="68" t="s">
        <v>163</v>
      </c>
      <c r="L95" s="69" t="s">
        <v>165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164</v>
      </c>
      <c r="W95" s="68" t="s">
        <v>125</v>
      </c>
      <c r="X95" s="7"/>
    </row>
    <row r="96" spans="11:24" s="60" customFormat="1" x14ac:dyDescent="0.3">
      <c r="K96" s="68" t="s">
        <v>123</v>
      </c>
      <c r="L96" s="69" t="s">
        <v>166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124</v>
      </c>
      <c r="W96" s="68" t="s">
        <v>125</v>
      </c>
      <c r="X96" s="7"/>
    </row>
    <row r="97" spans="11:24" s="60" customFormat="1" ht="20.399999999999999" x14ac:dyDescent="0.3">
      <c r="K97" s="68" t="s">
        <v>168</v>
      </c>
      <c r="L97" s="69" t="s">
        <v>170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167</v>
      </c>
      <c r="W97" s="68" t="s">
        <v>169</v>
      </c>
      <c r="X97" s="7"/>
    </row>
    <row r="98" spans="11:24" s="60" customFormat="1" ht="20.399999999999999" customHeight="1" x14ac:dyDescent="0.3">
      <c r="K98" s="68" t="s">
        <v>206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207</v>
      </c>
      <c r="W98" s="68" t="s">
        <v>208</v>
      </c>
      <c r="X98" s="7"/>
    </row>
    <row r="99" spans="11:24" s="60" customFormat="1" x14ac:dyDescent="0.3">
      <c r="K99" s="68" t="s">
        <v>201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202</v>
      </c>
      <c r="W99" s="68" t="s">
        <v>200</v>
      </c>
      <c r="X99" s="7"/>
    </row>
    <row r="100" spans="11:24" s="60" customFormat="1" x14ac:dyDescent="0.3">
      <c r="K100" s="68" t="s">
        <v>198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199</v>
      </c>
      <c r="W100" s="68" t="s">
        <v>200</v>
      </c>
      <c r="X100" s="7"/>
    </row>
    <row r="101" spans="11:24" s="60" customFormat="1" x14ac:dyDescent="0.3">
      <c r="K101" s="68" t="s">
        <v>203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195</v>
      </c>
      <c r="W101" s="68" t="s">
        <v>140</v>
      </c>
      <c r="X101" s="7"/>
    </row>
    <row r="102" spans="11:24" s="60" customFormat="1" x14ac:dyDescent="0.3">
      <c r="K102" s="68" t="s">
        <v>194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195</v>
      </c>
      <c r="W102" s="68" t="s">
        <v>113</v>
      </c>
      <c r="X102" s="7"/>
    </row>
    <row r="103" spans="11:24" s="60" customFormat="1" x14ac:dyDescent="0.3">
      <c r="K103" s="68" t="s">
        <v>139</v>
      </c>
      <c r="L103" s="69" t="s">
        <v>165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112</v>
      </c>
      <c r="W103" s="68" t="s">
        <v>140</v>
      </c>
      <c r="X103" s="7"/>
    </row>
    <row r="104" spans="11:24" s="60" customFormat="1" x14ac:dyDescent="0.3">
      <c r="K104" s="68" t="s">
        <v>111</v>
      </c>
      <c r="L104" s="69" t="s">
        <v>165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112</v>
      </c>
      <c r="W104" s="68" t="s">
        <v>113</v>
      </c>
      <c r="X104" s="7"/>
    </row>
    <row r="105" spans="11:24" x14ac:dyDescent="0.3">
      <c r="K105" s="74"/>
      <c r="X105" s="7"/>
    </row>
    <row r="106" spans="11:24" x14ac:dyDescent="0.3">
      <c r="X106" s="7"/>
    </row>
    <row r="107" spans="11:24" x14ac:dyDescent="0.3">
      <c r="X107" s="7"/>
    </row>
    <row r="109" spans="11:24" x14ac:dyDescent="0.3">
      <c r="K109" s="60"/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7"/>
    </row>
    <row r="114" spans="24:24" x14ac:dyDescent="0.3">
      <c r="X114" s="7"/>
    </row>
    <row r="115" spans="24:24" x14ac:dyDescent="0.3">
      <c r="X115" s="8"/>
    </row>
    <row r="116" spans="24:24" x14ac:dyDescent="0.3">
      <c r="X116" s="7"/>
    </row>
    <row r="117" spans="24:24" ht="15" customHeight="1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1:24" x14ac:dyDescent="0.3">
      <c r="X145" s="200"/>
    </row>
    <row r="146" spans="1:24" x14ac:dyDescent="0.3">
      <c r="X146" s="200"/>
    </row>
    <row r="147" spans="1:24" x14ac:dyDescent="0.3">
      <c r="X147" s="200"/>
    </row>
    <row r="148" spans="1:24" s="33" customFormat="1" x14ac:dyDescent="0.3">
      <c r="K148"/>
      <c r="L148" s="25"/>
      <c r="M148"/>
      <c r="N148"/>
      <c r="O148"/>
      <c r="P148"/>
      <c r="Q148"/>
      <c r="R148"/>
      <c r="S148"/>
      <c r="T148" s="6"/>
      <c r="U148" s="6"/>
      <c r="V148"/>
      <c r="X148" s="200"/>
    </row>
    <row r="149" spans="1:24" s="33" customFormat="1" x14ac:dyDescent="0.3">
      <c r="K149"/>
      <c r="L149" s="25"/>
      <c r="M149"/>
      <c r="N149"/>
      <c r="O149"/>
      <c r="P149"/>
      <c r="Q149"/>
      <c r="R149"/>
      <c r="S149"/>
      <c r="T149" s="6"/>
      <c r="U149" s="6"/>
      <c r="V149"/>
      <c r="X149" s="200"/>
    </row>
    <row r="150" spans="1:24" x14ac:dyDescent="0.3">
      <c r="X150" s="200"/>
    </row>
    <row r="151" spans="1:24" x14ac:dyDescent="0.3">
      <c r="A151" s="57"/>
    </row>
    <row r="152" spans="1:24" x14ac:dyDescent="0.3">
      <c r="A152" s="55"/>
    </row>
    <row r="153" spans="1:24" x14ac:dyDescent="0.3">
      <c r="A153" s="57"/>
    </row>
    <row r="154" spans="1:24" x14ac:dyDescent="0.3">
      <c r="A154" s="55"/>
    </row>
    <row r="155" spans="1:24" s="33" customFormat="1" x14ac:dyDescent="0.3">
      <c r="A155" s="57"/>
      <c r="K155"/>
      <c r="L155" s="25"/>
      <c r="M155"/>
      <c r="N155"/>
      <c r="O155"/>
      <c r="P155"/>
      <c r="Q155"/>
      <c r="R155"/>
      <c r="S155"/>
      <c r="T155" s="6"/>
      <c r="U155" s="6"/>
      <c r="V155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s="33" customFormat="1" x14ac:dyDescent="0.3">
      <c r="A158" s="55"/>
      <c r="K158"/>
      <c r="L158" s="25"/>
      <c r="M158"/>
      <c r="N158"/>
      <c r="O158"/>
      <c r="P158"/>
      <c r="Q158"/>
      <c r="R158"/>
      <c r="S158"/>
      <c r="T158" s="6"/>
      <c r="U158" s="6"/>
      <c r="V158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6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6"/>
    </row>
    <row r="233" spans="1:1" x14ac:dyDescent="0.3">
      <c r="A233" s="57"/>
    </row>
    <row r="234" spans="1:1" x14ac:dyDescent="0.3">
      <c r="A234" s="56"/>
    </row>
    <row r="235" spans="1:1" x14ac:dyDescent="0.3">
      <c r="A235" s="58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5"/>
    </row>
  </sheetData>
  <mergeCells count="4">
    <mergeCell ref="X145:X150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$K$54:$K$701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2025-10-21T06:21:48Z</cp:lastPrinted>
  <dcterms:created xsi:type="dcterms:W3CDTF">2015-01-22T18:16:29Z</dcterms:created>
  <dcterms:modified xsi:type="dcterms:W3CDTF">2025-10-23T14:43:13Z</dcterms:modified>
</cp:coreProperties>
</file>