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7.10.2025\"/>
    </mc:Choice>
  </mc:AlternateContent>
  <xr:revisionPtr revIDLastSave="0" documentId="8_{613A8232-F252-4C3D-AF9F-62BA8603443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<sst xmlns="http://schemas.openxmlformats.org/spreadsheetml/2006/main" count="407" uniqueCount="238">
  <si>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</si>
  <si>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</si>
  <si>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</si>
  <si>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</si>
  <si>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</si>
  <si>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</si>
  <si>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</si>
  <si>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</si>
  <si>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</si>
  <si>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</si>
  <si>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</si>
  <si>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</si>
  <si>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</si>
  <si>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</si>
  <si>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</si>
  <si>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</si>
  <si>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</si>
  <si>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</si>
  <si>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</si>
  <si>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</si>
  <si>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</si>
  <si>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</si>
  <si>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</si>
  <si>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</si>
  <si>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</si>
  <si>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</si>
  <si>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</si>
  <si>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</si>
  <si>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</si>
  <si>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</si>
  <si>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</si>
  <si>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</si>
  <si>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</si>
  <si>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</si>
  <si>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</si>
  <si>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</si>
  <si>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</si>
  <si>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</si>
  <si>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</si>
  <si>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</si>
  <si>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</si>
  <si>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</si>
  <si>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</si>
  <si>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</si>
  <si>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</si>
  <si>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</si>
  <si>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</si>
  <si>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</si>
  <si>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</si>
  <si>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</si>
  <si>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</si>
  <si>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</si>
  <si>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</si>
  <si>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</si>
  <si>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</si>
  <si>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</si>
  <si>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</si>
  <si>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</si>
  <si>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</si>
  <si>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</si>
  <si>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</si>
  <si>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</si>
  <si>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</si>
  <si>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</si>
  <si>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</si>
  <si>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</si>
  <si>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</si>
  <si>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</si>
  <si>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</si>
  <si>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</si>
  <si>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</si>
  <si>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</si>
  <si>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</si>
  <si>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</si>
  <si>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</si>
  <si>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</si>
  <si>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</si>
  <si>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</si>
  <si>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</si>
  <si>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</si>
  <si>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</si>
  <si>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</si>
  <si>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</si>
  <si>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</si>
  <si>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</si>
  <si>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</si>
  <si>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</si>
  <si>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</si>
  <si>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</si>
  <si>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</si>
  <si>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</si>
  <si>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</si>
  <si>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</si>
  <si>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</si>
  <si>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</si>
  <si>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</si>
  <si>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</si>
  <si>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</si>
  <si>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</si>
  <si>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</si>
  <si>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</si>
  <si>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</si>
  <si>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</si>
  <si>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</si>
  <si>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</si>
  <si>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</si>
  <si>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</si>
  <si>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</si>
  <si>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</si>
  <si>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</si>
  <si>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</si>
  <si>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</si>
  <si>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</si>
  <si>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</si>
  <si>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</si>
  <si>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</si>
  <si>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</si>
  <si>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</si>
  <si>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</si>
  <si>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</si>
  <si>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</si>
  <si>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</si>
  <si>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</si>
  <si>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</si>
  <si>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</si>
  <si>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</si>
  <si>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</si>
  <si>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</si>
  <si>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</si>
  <si>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</si>
  <si>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</si>
  <si>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</si>
  <si>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</si>
  <si>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</si>
  <si>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</si>
  <si>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</si>
  <si>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</si>
  <si>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</si>
  <si>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</si>
  <si>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</si>
  <si>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</si>
  <si>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</si>
  <si>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</si>
  <si>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</si>
  <si>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</si>
  <si>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</si>
  <si>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</si>
  <si>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</si>
  <si>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</si>
  <si>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</si>
  <si>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</si>
  <si>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</si>
  <si>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</si>
  <si>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</si>
  <si>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</si>
  <si>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</si>
  <si>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</si>
  <si>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</si>
  <si>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</si>
  <si>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</si>
  <si>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</si>
  <si>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</si>
  <si>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</si>
  <si>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</si>
  <si>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</si>
  <si>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</si>
  <si>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</si>
  <si>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</si>
  <si>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</si>
  <si>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</si>
  <si>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</si>
  <si>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</si>
  <si>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</si>
  <si>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</si>
  <si>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</si>
  <si>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</si>
  <si>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</si>
  <si>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</si>
  <si>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</si>
  <si>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</si>
  <si>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</si>
  <si>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</si>
  <si>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</si>
  <si>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</si>
  <si>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</si>
  <si>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</si>
  <si>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</si>
  <si>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</si>
  <si>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</si>
  <si>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</si>
  <si>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</si>
  <si>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</si>
  <si>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</si>
  <si>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</si>
  <si>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</si>
  <si>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</si>
  <si>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</si>
  <si>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</si>
  <si>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</si>
  <si>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</si>
  <si>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</si>
  <si>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</si>
  <si>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</si>
  <si>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</si>
  <si>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</si>
  <si>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</si>
  <si>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</si>
  <si>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</si>
  <si>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</si>
  <si>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</si>
  <si>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</si>
  <si>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</si>
  <si>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</si>
  <si>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</si>
  <si>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</si>
  <si>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</si>
  <si>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</si>
  <si>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</si>
  <si>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</si>
  <si>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</si>
  <si>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</si>
  <si>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</si>
  <si>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</si>
  <si>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</si>
  <si>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</si>
  <si>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</si>
  <si>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</si>
  <si>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</si>
  <si>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</si>
  <si>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</si>
  <si>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</si>
  <si>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</si>
  <si>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</si>
  <si>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</si>
  <si>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01339</t>
  </si>
  <si>
    <t>14582656</t>
  </si>
  <si>
    <t>295,997</t>
  </si>
  <si>
    <t>Яранский район, д.Пиштань, ул.Кирова 12-1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</si>
</sst>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№ЕИ-04/02-01339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2014, заводской № 14582656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д.Пиштань, ул.Кирова 12-1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25.3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25.1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58.3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64.7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104.8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104.8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6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6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0.03</v>
      </c>
      <c r="AD53" s="129"/>
      <c r="AE53" s="129"/>
      <c r="AF53" s="129"/>
      <c r="AG53" s="129"/>
      <c r="AH53" s="129"/>
      <c r="AI53" s="130"/>
      <c r="AJ53" s="199" t="str">
        <f>Данные!B6</f>
        <v>295,997</v>
      </c>
      <c r="AK53" s="199"/>
      <c r="AL53" s="199"/>
      <c r="AM53" s="199"/>
      <c r="AN53" s="199"/>
      <c r="AO53" s="199"/>
      <c r="AP53" s="90"/>
      <c r="AQ53" s="198">
        <f ca="1">AJ53+AW53</f>
        <v>296.00299999999999</v>
      </c>
      <c r="AR53" s="198"/>
      <c r="AS53" s="198"/>
      <c r="AT53" s="198"/>
      <c r="AU53" s="198"/>
      <c r="AV53" s="198"/>
      <c r="AW53" s="128">
        <f ca="1">ROUNDUP(AC53*720/3600,3)</f>
        <v>6.0000000000000001E-3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6.3E-3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-4.8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0.13500000000000001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296.01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296.024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1.3799999999999998E-2</v>
      </c>
      <c r="BE54" s="126"/>
      <c r="BF54" s="126"/>
      <c r="BG54" s="126"/>
      <c r="BH54" s="126"/>
      <c r="BI54" s="126"/>
      <c r="BJ54" s="127"/>
      <c r="BK54" s="101">
        <f ca="1">ROUND(((AW54-BD54)/BD54)*100,1)</f>
        <v>1.4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0.94099999999999995</v>
      </c>
      <c r="AD55" s="148"/>
      <c r="AE55" s="148"/>
      <c r="AF55" s="148"/>
      <c r="AG55" s="148"/>
      <c r="AH55" s="148"/>
      <c r="AI55" s="149"/>
      <c r="AJ55" s="183">
        <f ca="1">AQ54+RANDBETWEEN(15,18)/1000</f>
        <v>296.03899999999999</v>
      </c>
      <c r="AK55" s="183"/>
      <c r="AL55" s="183"/>
      <c r="AM55" s="183"/>
      <c r="AN55" s="183"/>
      <c r="AO55" s="183"/>
      <c r="AP55" s="90"/>
      <c r="AQ55" s="128">
        <f t="shared" ca="1" si="0"/>
        <v>296.07099999999997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3.2199999999999999E-2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45947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45947</v>
      </c>
      <c r="C10" s="13"/>
      <c r="D10" s="13"/>
      <c r="E10" s="13"/>
    </row>
    <row r="11" spans="1:21" ht="18" x14ac:dyDescent="0.35">
      <c r="A11" s="11" t="s">
        <v>15</v>
      </c>
      <c r="B11" s="76">
        <v>25.3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104.8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45951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2025-10-21T06:07:20Z</cp:lastPrinted>
  <dcterms:created xsi:type="dcterms:W3CDTF">2015-01-22T18:16:29Z</dcterms:created>
  <dcterms:modified xsi:type="dcterms:W3CDTF">2025-10-21T06:08:08Z</dcterms:modified>
</cp:coreProperties>
</file>