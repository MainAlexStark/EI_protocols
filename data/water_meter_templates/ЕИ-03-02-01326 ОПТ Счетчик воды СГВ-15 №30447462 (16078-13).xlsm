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ustomProperty1.bin" ContentType="application/vnd.openxmlformats-officedocument.spreadsheetml.customProperty"/>
  <Override PartName="/xl/customProperty2.bin" ContentType="application/vnd.openxmlformats-officedocument.spreadsheetml.customProperty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332" codeName="{4D1C537B-E38A-612A-F078-A93A15B4B7F4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C:\Users\maina\ЕИ_документы\16.10.2025\"/>
    </mc:Choice>
  </mc:AlternateContent>
  <xr:revisionPtr revIDLastSave="0" documentId="8_{51B5C7B2-9954-4DD0-9B23-C1364776B1E7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Протокол" sheetId="2" r:id="rId1"/>
    <sheet name="Данные" sheetId="3" r:id="rId2"/>
  </sheets>
  <calcPr calcId="191029" iterateDelta="1E-4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C55" i="2" l="1"/>
  <c r="AJ53" i="2" l="1"/>
  <c r="D56" i="2"/>
  <c r="AC53" i="2"/>
  <c r="AC54" i="2" l="1"/>
  <c r="K52" i="3" l="1"/>
  <c r="A6" i="2" s="1"/>
  <c r="A5" i="2" l="1"/>
  <c r="A14" i="2" l="1"/>
  <c r="A8" i="2"/>
  <c r="A23" i="2"/>
  <c r="A38" i="2"/>
  <c r="A22" i="2"/>
  <c r="A19" i="2"/>
  <c r="A18" i="2"/>
  <c r="A15" i="2"/>
  <c r="AF28" i="2"/>
  <c r="AP28" i="2" s="1"/>
  <c r="AW53" i="2"/>
  <c r="AQ53" i="2" s="1"/>
  <c r="AJ54" i="2" s="1"/>
  <c r="AF29" i="2"/>
  <c r="AP29" i="2" s="1"/>
  <c r="AF30" i="2"/>
  <c r="AP30" i="2" s="1"/>
  <c r="AW55" i="2"/>
  <c r="BD55" i="2" s="1"/>
  <c r="AW54" i="2"/>
  <c r="AP31" i="2"/>
  <c r="AF31" i="2"/>
  <c r="A9" i="2"/>
  <c r="A35" i="2"/>
  <c r="A10" i="2"/>
  <c r="V64" i="2"/>
  <c r="A17" i="3"/>
  <c r="BB64" i="2"/>
  <c r="AQ54" i="2" l="1"/>
  <c r="AJ55" i="2" s="1"/>
  <c r="AQ55" i="2" s="1"/>
  <c r="BD54" i="2"/>
  <c r="BK54" i="2" s="1"/>
  <c r="BK55" i="2"/>
  <c r="BD53" i="2"/>
  <c r="BK53" i="2" s="1"/>
</calcChain>
</file>

<file path=xl/sharedStrings.xml><?xml version="1.0" encoding="utf-8"?>
<sst xmlns="http://schemas.openxmlformats.org/spreadsheetml/2006/main" count="407" uniqueCount="238">
  <si>
    <t>Тип</t>
  </si>
  <si>
    <t>Диапазон измерения объемного расхода жидкости:</t>
  </si>
  <si>
    <t>Пределы допускаемой относительной погрешности в диапазоне расходов:</t>
  </si>
  <si>
    <t>Результаты измерений</t>
  </si>
  <si>
    <t>Класс счетчика</t>
  </si>
  <si>
    <t>δ, %</t>
  </si>
  <si>
    <t>δдоп, %</t>
  </si>
  <si>
    <t>Режим измерений</t>
  </si>
  <si>
    <t>ЗАКЛЮЧЕНИЕ</t>
  </si>
  <si>
    <t>Поверитель</t>
  </si>
  <si>
    <t>(подпись)</t>
  </si>
  <si>
    <t>Дата поверки</t>
  </si>
  <si>
    <t>Протокол №</t>
  </si>
  <si>
    <t>Номер</t>
  </si>
  <si>
    <t>Дата</t>
  </si>
  <si>
    <t xml:space="preserve">Температура воздуха °С:  </t>
  </si>
  <si>
    <t>влажность воздуха  %:</t>
  </si>
  <si>
    <t>min</t>
  </si>
  <si>
    <t>ном</t>
  </si>
  <si>
    <t>max</t>
  </si>
  <si>
    <t>порг1</t>
  </si>
  <si>
    <t>погр2</t>
  </si>
  <si>
    <t>тип</t>
  </si>
  <si>
    <t>мп</t>
  </si>
  <si>
    <t>перех А</t>
  </si>
  <si>
    <t>перех B</t>
  </si>
  <si>
    <t>СЕГОДНЯ:</t>
  </si>
  <si>
    <t>Таб номер поверителя</t>
  </si>
  <si>
    <t>ОСНОВНЫЕ МЕТРОЛОГИЧЕСКИЕ ХАРАКТЕРИСТИКИ ПОВЕРЯЕМОГО СИ</t>
  </si>
  <si>
    <t>класс А:</t>
  </si>
  <si>
    <t>класс В:</t>
  </si>
  <si>
    <t>ЭТАЛОНЫ, ПРИМЕНЯЕМЫЕ ПРИ ПОВЕРКЕ</t>
  </si>
  <si>
    <t>МЕТОДИКА ПОВЕРКИ</t>
  </si>
  <si>
    <t>РЕЗУЛЬТАТЫ ПОВЕРКИ</t>
  </si>
  <si>
    <t>1.5.1</t>
  </si>
  <si>
    <t>1.5.2</t>
  </si>
  <si>
    <t>СГВ-15</t>
  </si>
  <si>
    <t>16078-05</t>
  </si>
  <si>
    <t xml:space="preserve">5-50 </t>
  </si>
  <si>
    <t>Адрес</t>
  </si>
  <si>
    <t>Собственник</t>
  </si>
  <si>
    <t>Эталон</t>
  </si>
  <si>
    <t>5-40 для хв  и 40-90 для гв 5-90 для универсальных</t>
  </si>
  <si>
    <t>Столбец1</t>
  </si>
  <si>
    <t>Столбец2</t>
  </si>
  <si>
    <t>Столбец3</t>
  </si>
  <si>
    <t>Столбец4</t>
  </si>
  <si>
    <t>СГВ-15 16078-05</t>
  </si>
  <si>
    <t>30-95</t>
  </si>
  <si>
    <t>630-795</t>
  </si>
  <si>
    <t>32213.06.3Р.00233421</t>
  </si>
  <si>
    <t>40391.09.3Р.00233424</t>
  </si>
  <si>
    <t>УПСЖ 3ПМ, № 043</t>
  </si>
  <si>
    <t>40391.09.3Р.00233422</t>
  </si>
  <si>
    <t>УПСЖ 3ПМ, №039</t>
  </si>
  <si>
    <t>40391.09.3Р.00233425</t>
  </si>
  <si>
    <t>УПСЖ 3ПМ, №144</t>
  </si>
  <si>
    <t>Суслопаров (Коробов)</t>
  </si>
  <si>
    <t>32213.06.3Р.00233420</t>
  </si>
  <si>
    <t>УПСЖ-3П, №00041</t>
  </si>
  <si>
    <t>УПСЖ-3П, №00124</t>
  </si>
  <si>
    <t>Елькин</t>
  </si>
  <si>
    <t>Ваганов, Дюпин (Береснев)</t>
  </si>
  <si>
    <t xml:space="preserve">Зуев </t>
  </si>
  <si>
    <t>УПСЖ-3ПМ, № 271</t>
  </si>
  <si>
    <t>40391.09.3Р.37591</t>
  </si>
  <si>
    <t>СГВ-15 16078-13</t>
  </si>
  <si>
    <t>16078-13</t>
  </si>
  <si>
    <t>Год изготовления</t>
  </si>
  <si>
    <t>±</t>
  </si>
  <si>
    <t>t пов-й жидкости в конце поверки,  °С:</t>
  </si>
  <si>
    <t>t пов-й жидкости в начале поверки, °С:</t>
  </si>
  <si>
    <r>
      <t>V воды счёт., м</t>
    </r>
    <r>
      <rPr>
        <vertAlign val="superscript"/>
        <sz val="9"/>
        <color theme="1"/>
        <rFont val="Times New Roman"/>
        <family val="1"/>
        <charset val="204"/>
      </rPr>
      <t>3</t>
    </r>
  </si>
  <si>
    <r>
      <t>Измерения на минимальном расходе Q</t>
    </r>
    <r>
      <rPr>
        <vertAlign val="subscript"/>
        <sz val="9"/>
        <color theme="1"/>
        <rFont val="Times New Roman"/>
        <family val="1"/>
        <charset val="204"/>
      </rPr>
      <t>наим</t>
    </r>
    <r>
      <rPr>
        <sz val="9"/>
        <color theme="1"/>
        <rFont val="Times New Roman"/>
        <family val="1"/>
        <charset val="204"/>
      </rPr>
      <t xml:space="preserve">, равном 
(60 + 6) л/ч (класс А) 
(30 + 3) л/ч (класс В) 
</t>
    </r>
  </si>
  <si>
    <r>
      <t>Измерения на расходе Q</t>
    </r>
    <r>
      <rPr>
        <vertAlign val="subscript"/>
        <sz val="9"/>
        <color theme="1"/>
        <rFont val="Times New Roman"/>
        <family val="1"/>
        <charset val="204"/>
      </rPr>
      <t>наиб</t>
    </r>
    <r>
      <rPr>
        <sz val="9"/>
        <color theme="1"/>
        <rFont val="Times New Roman"/>
        <family val="1"/>
        <charset val="204"/>
      </rPr>
      <t xml:space="preserve"> , л/ч 
</t>
    </r>
  </si>
  <si>
    <t>Температура окружающей среды, °С</t>
  </si>
  <si>
    <t>Влажность окружающей среды, %</t>
  </si>
  <si>
    <t>Атмосферное давление,  кПа</t>
  </si>
  <si>
    <t>в начале поверки</t>
  </si>
  <si>
    <t>в конце поверки</t>
  </si>
  <si>
    <t>атмосферное давление, кПа:</t>
  </si>
  <si>
    <t>от 5-40°С для СХВ, от 40-90°С для СГВ, от 5-90°С для универсальных счётчиков</t>
  </si>
  <si>
    <t>условия поверки</t>
  </si>
  <si>
    <t>Температура поверочной жидкости-воды, °С</t>
  </si>
  <si>
    <t xml:space="preserve">3. Определение относительной погрешности (2.7.3) </t>
  </si>
  <si>
    <t>начало измерений</t>
  </si>
  <si>
    <t>конец измерений</t>
  </si>
  <si>
    <r>
      <t>Показания на начало поверки, м</t>
    </r>
    <r>
      <rPr>
        <b/>
        <vertAlign val="superscript"/>
        <sz val="11"/>
        <color rgb="FF3F3F3F"/>
        <rFont val="Calibri"/>
        <family val="2"/>
        <charset val="204"/>
        <scheme val="minor"/>
      </rPr>
      <t>3</t>
    </r>
  </si>
  <si>
    <r>
      <t>Расход, м</t>
    </r>
    <r>
      <rPr>
        <vertAlign val="superscript"/>
        <sz val="9"/>
        <color theme="1"/>
        <rFont val="Times New Roman"/>
        <family val="1"/>
        <charset val="204"/>
      </rPr>
      <t>3</t>
    </r>
    <r>
      <rPr>
        <sz val="9"/>
        <color theme="1"/>
        <rFont val="Times New Roman"/>
        <family val="1"/>
        <charset val="204"/>
      </rPr>
      <t xml:space="preserve">/ч </t>
    </r>
  </si>
  <si>
    <r>
      <t>Vэтал, м</t>
    </r>
    <r>
      <rPr>
        <vertAlign val="superscript"/>
        <sz val="9"/>
        <color theme="1"/>
        <rFont val="Times New Roman"/>
        <family val="1"/>
        <charset val="204"/>
      </rPr>
      <t>3</t>
    </r>
  </si>
  <si>
    <t>В</t>
  </si>
  <si>
    <t>СВК 15-3 13869-03</t>
  </si>
  <si>
    <t>13869-03</t>
  </si>
  <si>
    <t>СВК15-3</t>
  </si>
  <si>
    <t>от 5-50°С</t>
  </si>
  <si>
    <t>от 30-95%</t>
  </si>
  <si>
    <t>от 84-106 кПа</t>
  </si>
  <si>
    <t>Общество с ограниченной ответственностью</t>
  </si>
  <si>
    <t>"ЕДИНИЦА ИЗМЕРЕНИЯ"</t>
  </si>
  <si>
    <t>610027, Россия, Кировская область, город Киров, улица Красноармейская, дом 43А, помещение 1,21.</t>
  </si>
  <si>
    <t>610008, г. Киров, ул. Гагарина, д. 20, кв.62</t>
  </si>
  <si>
    <t>1. Внешний  осмотр (2.7.1): соответствует.</t>
  </si>
  <si>
    <t>2. Опробование (2.7.2):  соответствует.</t>
  </si>
  <si>
    <t>2.1 Проверка герметичности (2.7.2.1): соответствует.</t>
  </si>
  <si>
    <t>СХВ-15 16078-13</t>
  </si>
  <si>
    <t>СХВ-15</t>
  </si>
  <si>
    <t>УПСЖ 5П №2350 72850.18.3Р.00701885</t>
  </si>
  <si>
    <t>СХВ-15 16078-05</t>
  </si>
  <si>
    <t>СВ-15Х 24319-05</t>
  </si>
  <si>
    <t>24319-05</t>
  </si>
  <si>
    <t>СВ-15Х</t>
  </si>
  <si>
    <t>СВК-15Г 61399-15</t>
  </si>
  <si>
    <t>61399-15</t>
  </si>
  <si>
    <t>СВК-15Г</t>
  </si>
  <si>
    <t>СВКМ-15У 57034-14</t>
  </si>
  <si>
    <t>57034-14</t>
  </si>
  <si>
    <t>СВКМ-15У</t>
  </si>
  <si>
    <t>27361-04</t>
  </si>
  <si>
    <t>СКВ-3/15 27361-04</t>
  </si>
  <si>
    <t>СКВ-3/15</t>
  </si>
  <si>
    <t>СВК 15-3-2 13869-13</t>
  </si>
  <si>
    <t>13869-13</t>
  </si>
  <si>
    <t>СВК 15-3-2</t>
  </si>
  <si>
    <t>ЭКО-15 63564-16</t>
  </si>
  <si>
    <t>63564-16</t>
  </si>
  <si>
    <t>ЭКО-15</t>
  </si>
  <si>
    <t>СВК 15-3 13869-02</t>
  </si>
  <si>
    <t>13869-02</t>
  </si>
  <si>
    <t>СВК 15-3 13869-98</t>
  </si>
  <si>
    <t>13869-98</t>
  </si>
  <si>
    <t>СВ-15Г 24319-05</t>
  </si>
  <si>
    <t>СВ-15Г</t>
  </si>
  <si>
    <t>ЕВ-АМ 24860-11</t>
  </si>
  <si>
    <t>24860-11</t>
  </si>
  <si>
    <t>ЕВ-АМ</t>
  </si>
  <si>
    <t>ОХТА 47153-11</t>
  </si>
  <si>
    <t>47153-11</t>
  </si>
  <si>
    <t>«Счетчики воды крыльчатые ОХТА.
Методика поверки» МП 2550-0159-2011</t>
  </si>
  <si>
    <t>ОХТА</t>
  </si>
  <si>
    <t>СВК-15Х 61399-15</t>
  </si>
  <si>
    <t>СВК-15Х</t>
  </si>
  <si>
    <t>WFK2 54418-13</t>
  </si>
  <si>
    <t>54418-13</t>
  </si>
  <si>
    <t>WFK2</t>
  </si>
  <si>
    <t>WFW2 54418-13</t>
  </si>
  <si>
    <t>WFW2</t>
  </si>
  <si>
    <t>26382-07</t>
  </si>
  <si>
    <t>VLF-R 26382-07</t>
  </si>
  <si>
    <t>VLF-R</t>
  </si>
  <si>
    <t>VLF-U 58362-14</t>
  </si>
  <si>
    <t>58362-14</t>
  </si>
  <si>
    <t>VLF-U</t>
  </si>
  <si>
    <t>«Счетчики холодной и горячей воды
крыльчатые VLF торговой марки VALTEC. Методика поверки» МП-2550-0241-2014</t>
  </si>
  <si>
    <t>13869-08</t>
  </si>
  <si>
    <t>СВК 15-3-2 13869-08</t>
  </si>
  <si>
    <t>УВС-15Х 47204-11</t>
  </si>
  <si>
    <t>47204-11</t>
  </si>
  <si>
    <t>УВС-15Х</t>
  </si>
  <si>
    <t>УВС-15Г 47204-11</t>
  </si>
  <si>
    <t>УВС-15Г</t>
  </si>
  <si>
    <t>JS 1,5  15314-05</t>
  </si>
  <si>
    <t>15314-05</t>
  </si>
  <si>
    <t>JS 1,5</t>
  </si>
  <si>
    <t>ЭКО-15 53352-13</t>
  </si>
  <si>
    <t>53352-13</t>
  </si>
  <si>
    <t>«Рекомендация. ГСИ. Счетчики воды. Методика поверки» МИ 1592-2015</t>
  </si>
  <si>
    <t>«ГСИ. Счетчики холодной воды. Методы и средства поверки» ГОСТ 8.156-83</t>
  </si>
  <si>
    <t>73546-18</t>
  </si>
  <si>
    <t>ЭКОМЕРА-15 73546-18</t>
  </si>
  <si>
    <t>ЭКОМЕРА-15</t>
  </si>
  <si>
    <t>«Счетчики воды крыльчатые универсальные ЭКОМЕРА. Методика поверки» МП 07-221-2018</t>
  </si>
  <si>
    <t>24860-03</t>
  </si>
  <si>
    <t>EV-AM1</t>
  </si>
  <si>
    <t>EV-AM1 24860-03</t>
  </si>
  <si>
    <t>ВСКМ 90-20 32539-11</t>
  </si>
  <si>
    <t>ВСКМ 90-20</t>
  </si>
  <si>
    <t>32539-11</t>
  </si>
  <si>
    <t>67831-17</t>
  </si>
  <si>
    <t>ЭКО НОМ СВ-15-110 67831-17</t>
  </si>
  <si>
    <t>ЭКО НОМ СВ-15-110</t>
  </si>
  <si>
    <t>ПУЛЬС 68501-17</t>
  </si>
  <si>
    <t>68501-17</t>
  </si>
  <si>
    <t>ПУЛЬС</t>
  </si>
  <si>
    <t>MK-U 56505-14</t>
  </si>
  <si>
    <t>56505-14</t>
  </si>
  <si>
    <t>MK-U</t>
  </si>
  <si>
    <t>СКВГ 90-3/15 27399-04</t>
  </si>
  <si>
    <t>27399-04</t>
  </si>
  <si>
    <t>СКВГ 90-3/15</t>
  </si>
  <si>
    <t>СГВ-15 16078-00</t>
  </si>
  <si>
    <t>16078-00</t>
  </si>
  <si>
    <t>СВХ 15 46597-11</t>
  </si>
  <si>
    <t>46597-11</t>
  </si>
  <si>
    <t>СВХ 15</t>
  </si>
  <si>
    <t>СВК-15Г 54835-13</t>
  </si>
  <si>
    <t>54835-13</t>
  </si>
  <si>
    <t>СВКМ-15Х 57034-14</t>
  </si>
  <si>
    <t>СВКМ-15Х</t>
  </si>
  <si>
    <t>СВУ-15 58361-14</t>
  </si>
  <si>
    <t>58361-14</t>
  </si>
  <si>
    <t>СВУ-15</t>
  </si>
  <si>
    <t>СВУ-15 56279-14</t>
  </si>
  <si>
    <t>56279-14</t>
  </si>
  <si>
    <t>СВК-15Х 54835-13</t>
  </si>
  <si>
    <t>СВ-15</t>
  </si>
  <si>
    <t>СВ-15 МЕТЕР 56279-14</t>
  </si>
  <si>
    <t>ТРИТОН-УЛЬТРА 60780-15</t>
  </si>
  <si>
    <t>60780-15</t>
  </si>
  <si>
    <t>ТРИТОН-УЛЬТРА</t>
  </si>
  <si>
    <t>31697-06</t>
  </si>
  <si>
    <t>СВК 15-1,5</t>
  </si>
  <si>
    <t>СВК 15-1,5 31697-06 Бологое</t>
  </si>
  <si>
    <r>
      <t>Vсчет 
(Vij = K*N ij), м</t>
    </r>
    <r>
      <rPr>
        <vertAlign val="superscript"/>
        <sz val="9"/>
        <color theme="1"/>
        <rFont val="Times New Roman"/>
        <family val="1"/>
        <charset val="204"/>
      </rPr>
      <t>3</t>
    </r>
  </si>
  <si>
    <t>Коэффициент преобразования счетчика, значение которого указывается на счетчике конкретного типа или в его эксплуатационных документах, м3/имп</t>
  </si>
  <si>
    <t>K=</t>
  </si>
  <si>
    <t>, где K - коэффициент преобразования счетчика, значение которого указывается на счетчике конкретного типа или в его эксплуатационных документах, м3/имп</t>
  </si>
  <si>
    <t>СВК 20-5-1 13869-13</t>
  </si>
  <si>
    <t>«ГСИ. Счетчики холодной и горячей воды крыльчатые типа СВК. Методика поверки» ЛГФИ.407223.003</t>
  </si>
  <si>
    <t>СВК 20-5-1</t>
  </si>
  <si>
    <t>СВКМ-15Г 57034-14</t>
  </si>
  <si>
    <t>СВКМ-15Г</t>
  </si>
  <si>
    <t>ВДГ-15М 58329-14</t>
  </si>
  <si>
    <t>58329-14</t>
  </si>
  <si>
    <t>ВДГ-15М</t>
  </si>
  <si>
    <r>
      <t>Измерения на  расходе 1,1</t>
    </r>
    <r>
      <rPr>
        <vertAlign val="subscript"/>
        <sz val="9"/>
        <color theme="1"/>
        <rFont val="Times New Roman"/>
        <family val="1"/>
        <charset val="204"/>
      </rPr>
      <t>*</t>
    </r>
    <r>
      <rPr>
        <sz val="9"/>
        <color theme="1"/>
        <rFont val="Times New Roman"/>
        <family val="1"/>
        <charset val="204"/>
      </rPr>
      <t>Q</t>
    </r>
    <r>
      <rPr>
        <vertAlign val="subscript"/>
        <sz val="9"/>
        <color theme="1"/>
        <rFont val="Times New Roman"/>
        <family val="1"/>
        <charset val="204"/>
      </rPr>
      <t>п</t>
    </r>
    <r>
      <rPr>
        <sz val="9"/>
        <color theme="1"/>
        <rFont val="Times New Roman"/>
        <family val="1"/>
        <charset val="204"/>
      </rPr>
      <t xml:space="preserve">, равном 
(165 </t>
    </r>
    <r>
      <rPr>
        <sz val="9"/>
        <color indexed="8"/>
        <rFont val="Times New Roman"/>
        <family val="1"/>
        <charset val="204"/>
      </rPr>
      <t xml:space="preserve">± 16,5) л/ч (класс А) 
(132 ± 13,2) л/ч (класс В) 
</t>
    </r>
  </si>
  <si>
    <t>На основании результатов поверки СИ соответствует установленным метрологическим и техническим требованиям и пригодно к применению.</t>
  </si>
  <si>
    <t>СГВ-20 16078-05</t>
  </si>
  <si>
    <t>СГВ-20</t>
  </si>
  <si>
    <t>СХВ-15 16078-00</t>
  </si>
  <si>
    <t>02</t>
  </si>
  <si>
    <t>Стариков С.В.</t>
  </si>
  <si>
    <t>0,00814</t>
  </si>
  <si>
    <t>СГВ-20 16078-13</t>
  </si>
  <si>
    <t>Частное лицо</t>
  </si>
  <si>
    <t>01326</t>
  </si>
  <si>
    <t>30447462</t>
  </si>
  <si>
    <t>703,242</t>
  </si>
  <si>
    <t>Яранский район, с.Рождественское, ул.Новая 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</si>
</sst>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[$-F800]dddd\,\ mmmm\ dd\,\ yyyy"/>
    <numFmt numFmtId="165" formatCode="0.0"/>
    <numFmt numFmtId="166" formatCode="0.000"/>
    <numFmt numFmtId="167" formatCode="0.0000"/>
  </numFmts>
  <fonts count="41" x14ac:knownFonts="1">
    <font>
      <sz val="11"/>
      <color theme="1"/>
      <name val="Calibri"/>
      <family val="2"/>
      <charset val="204"/>
      <scheme val="minor"/>
    </font>
    <font>
      <sz val="12"/>
      <color indexed="8"/>
      <name val="Times New Roman"/>
      <family val="1"/>
      <charset val="204"/>
    </font>
    <font>
      <b/>
      <sz val="12"/>
      <color indexed="8"/>
      <name val="Times New Roman"/>
      <family val="1"/>
      <charset val="204"/>
    </font>
    <font>
      <sz val="12"/>
      <name val="Times New Roman"/>
      <family val="1"/>
      <charset val="204"/>
    </font>
    <font>
      <sz val="8"/>
      <color indexed="8"/>
      <name val="Times New Roman"/>
      <family val="1"/>
      <charset val="204"/>
    </font>
    <font>
      <sz val="8"/>
      <name val="Calibri"/>
      <family val="2"/>
      <charset val="204"/>
    </font>
    <font>
      <b/>
      <sz val="11"/>
      <color indexed="63"/>
      <name val="Calibri"/>
      <family val="2"/>
      <charset val="204"/>
    </font>
    <font>
      <sz val="8"/>
      <name val="Times New Roman"/>
      <family val="1"/>
      <charset val="204"/>
    </font>
    <font>
      <sz val="8"/>
      <name val="Arial Cyr"/>
      <charset val="204"/>
    </font>
    <font>
      <b/>
      <sz val="8"/>
      <name val="Arial Cyr"/>
      <charset val="204"/>
    </font>
    <font>
      <b/>
      <sz val="10"/>
      <name val="Arial Cyr"/>
      <charset val="204"/>
    </font>
    <font>
      <b/>
      <sz val="16"/>
      <color indexed="8"/>
      <name val="Times New Roman"/>
      <family val="1"/>
      <charset val="204"/>
    </font>
    <font>
      <b/>
      <sz val="11"/>
      <color rgb="FF3F3F3F"/>
      <name val="Calibri"/>
      <family val="2"/>
      <charset val="204"/>
      <scheme val="minor"/>
    </font>
    <font>
      <b/>
      <sz val="11"/>
      <color theme="0"/>
      <name val="Calibri"/>
      <family val="2"/>
      <charset val="204"/>
      <scheme val="minor"/>
    </font>
    <font>
      <sz val="8"/>
      <color theme="1"/>
      <name val="Times New Roman"/>
      <family val="1"/>
      <charset val="204"/>
    </font>
    <font>
      <sz val="14"/>
      <color theme="1"/>
      <name val="Calibri"/>
      <family val="2"/>
      <charset val="204"/>
      <scheme val="minor"/>
    </font>
    <font>
      <sz val="11"/>
      <name val="Calibri"/>
      <family val="2"/>
      <charset val="204"/>
      <scheme val="minor"/>
    </font>
    <font>
      <b/>
      <sz val="16"/>
      <color theme="4" tint="-0.249977111117893"/>
      <name val="Calibri"/>
      <family val="2"/>
      <charset val="204"/>
      <scheme val="minor"/>
    </font>
    <font>
      <b/>
      <sz val="16"/>
      <color rgb="FFFF0000"/>
      <name val="Calibri"/>
      <family val="2"/>
      <charset val="204"/>
      <scheme val="minor"/>
    </font>
    <font>
      <b/>
      <sz val="14"/>
      <color theme="4" tint="-0.249977111117893"/>
      <name val="Calibri"/>
      <family val="2"/>
      <charset val="204"/>
      <scheme val="minor"/>
    </font>
    <font>
      <sz val="12"/>
      <color theme="1"/>
      <name val="Times New Roman"/>
      <family val="1"/>
      <charset val="204"/>
    </font>
    <font>
      <b/>
      <sz val="12"/>
      <color rgb="FF3F3F3F"/>
      <name val="Calibri"/>
      <family val="2"/>
      <charset val="204"/>
      <scheme val="minor"/>
    </font>
    <font>
      <b/>
      <sz val="12"/>
      <color theme="1"/>
      <name val="Times New Roman"/>
      <family val="1"/>
      <charset val="204"/>
    </font>
    <font>
      <sz val="11"/>
      <color theme="1"/>
      <name val="Times New Roman"/>
      <family val="1"/>
      <charset val="204"/>
    </font>
    <font>
      <b/>
      <sz val="8"/>
      <color theme="0"/>
      <name val="Times New Roman"/>
      <family val="1"/>
      <charset val="204"/>
    </font>
    <font>
      <u/>
      <sz val="11"/>
      <color theme="1"/>
      <name val="Times New Roman"/>
      <family val="1"/>
      <charset val="204"/>
    </font>
    <font>
      <sz val="10"/>
      <color indexed="8"/>
      <name val="Times New Roman"/>
      <family val="1"/>
      <charset val="204"/>
    </font>
    <font>
      <sz val="9"/>
      <color indexed="8"/>
      <name val="Times New Roman"/>
      <family val="1"/>
      <charset val="204"/>
    </font>
    <font>
      <sz val="9"/>
      <color theme="1"/>
      <name val="Times New Roman"/>
      <family val="1"/>
      <charset val="204"/>
    </font>
    <font>
      <vertAlign val="superscript"/>
      <sz val="9"/>
      <color theme="1"/>
      <name val="Times New Roman"/>
      <family val="1"/>
      <charset val="204"/>
    </font>
    <font>
      <vertAlign val="subscript"/>
      <sz val="9"/>
      <color theme="1"/>
      <name val="Times New Roman"/>
      <family val="1"/>
      <charset val="204"/>
    </font>
    <font>
      <sz val="11"/>
      <name val="Times New Roman"/>
      <family val="1"/>
      <charset val="204"/>
    </font>
    <font>
      <sz val="9"/>
      <name val="Times New Roman"/>
      <family val="1"/>
      <charset val="204"/>
    </font>
    <font>
      <b/>
      <vertAlign val="superscript"/>
      <sz val="11"/>
      <color rgb="FF3F3F3F"/>
      <name val="Calibri"/>
      <family val="2"/>
      <charset val="204"/>
      <scheme val="minor"/>
    </font>
    <font>
      <sz val="10"/>
      <name val="Times New Roman"/>
      <family val="1"/>
      <charset val="204"/>
    </font>
    <font>
      <b/>
      <sz val="11"/>
      <color theme="1"/>
      <name val="Times New Roman"/>
      <family val="1"/>
      <charset val="204"/>
    </font>
    <font>
      <b/>
      <sz val="20"/>
      <color rgb="FFFF9900"/>
      <name val="Calibri"/>
      <family val="2"/>
      <charset val="204"/>
    </font>
    <font>
      <b/>
      <sz val="20"/>
      <color rgb="FFFF0000"/>
      <name val="Calibri"/>
      <family val="2"/>
      <charset val="204"/>
    </font>
    <font>
      <b/>
      <sz val="14"/>
      <color rgb="FF339966"/>
      <name val="Calibri"/>
      <family val="2"/>
      <charset val="204"/>
    </font>
    <font>
      <sz val="11"/>
      <color rgb="FFFF0000"/>
      <name val="Calibri"/>
      <family val="2"/>
      <charset val="204"/>
      <scheme val="minor"/>
    </font>
    <font>
      <sz val="10"/>
      <color theme="1"/>
      <name val="Times New Roman"/>
      <family val="1"/>
      <charset val="204"/>
    </font>
  </fonts>
  <fills count="9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6" tint="0.79998168889431442"/>
        <bgColor theme="6" tint="0.79998168889431442"/>
      </patternFill>
    </fill>
  </fills>
  <borders count="21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12" fillId="2" borderId="16" applyNumberFormat="0" applyAlignment="0" applyProtection="0"/>
  </cellStyleXfs>
  <cellXfs count="203">
    <xf numFmtId="0" fontId="0" fillId="0" borderId="0" xfId="0"/>
    <xf numFmtId="0" fontId="1" fillId="0" borderId="0" xfId="0" applyFont="1"/>
    <xf numFmtId="0" fontId="0" fillId="0" borderId="0" xfId="0" applyBorder="1"/>
    <xf numFmtId="0" fontId="4" fillId="0" borderId="0" xfId="0" applyFont="1"/>
    <xf numFmtId="0" fontId="0" fillId="0" borderId="0" xfId="0" applyAlignment="1">
      <alignment horizontal="center"/>
    </xf>
    <xf numFmtId="0" fontId="1" fillId="0" borderId="0" xfId="0" applyFont="1" applyAlignment="1"/>
    <xf numFmtId="0" fontId="0" fillId="0" borderId="0" xfId="0" applyAlignment="1">
      <alignment horizontal="right"/>
    </xf>
    <xf numFmtId="0" fontId="9" fillId="0" borderId="0" xfId="0" applyFont="1" applyBorder="1" applyAlignment="1">
      <alignment horizontal="left" vertical="center" wrapText="1"/>
    </xf>
    <xf numFmtId="0" fontId="10" fillId="0" borderId="0" xfId="0" applyFont="1" applyBorder="1" applyAlignment="1">
      <alignment horizontal="center"/>
    </xf>
    <xf numFmtId="0" fontId="12" fillId="3" borderId="2" xfId="1" applyFill="1" applyBorder="1"/>
    <xf numFmtId="0" fontId="6" fillId="3" borderId="2" xfId="0" applyFont="1" applyFill="1" applyBorder="1"/>
    <xf numFmtId="0" fontId="6" fillId="3" borderId="2" xfId="1" applyFont="1" applyFill="1" applyBorder="1"/>
    <xf numFmtId="0" fontId="0" fillId="0" borderId="0" xfId="0" applyFill="1"/>
    <xf numFmtId="0" fontId="12" fillId="0" borderId="0" xfId="1" applyFill="1" applyBorder="1" applyAlignment="1"/>
    <xf numFmtId="0" fontId="15" fillId="4" borderId="2" xfId="0" applyFont="1" applyFill="1" applyBorder="1"/>
    <xf numFmtId="0" fontId="15" fillId="4" borderId="2" xfId="0" applyFont="1" applyFill="1" applyBorder="1" applyAlignment="1">
      <alignment horizontal="left"/>
    </xf>
    <xf numFmtId="0" fontId="15" fillId="4" borderId="3" xfId="0" applyFont="1" applyFill="1" applyBorder="1" applyAlignment="1">
      <alignment horizontal="left"/>
    </xf>
    <xf numFmtId="0" fontId="0" fillId="3" borderId="4" xfId="0" applyFill="1" applyBorder="1" applyAlignment="1">
      <alignment horizontal="left"/>
    </xf>
    <xf numFmtId="14" fontId="16" fillId="3" borderId="4" xfId="0" applyNumberFormat="1" applyFont="1" applyFill="1" applyBorder="1" applyAlignment="1">
      <alignment horizontal="left"/>
    </xf>
    <xf numFmtId="0" fontId="0" fillId="0" borderId="5" xfId="0" applyBorder="1"/>
    <xf numFmtId="0" fontId="17" fillId="0" borderId="5" xfId="0" applyFont="1" applyFill="1" applyBorder="1" applyAlignment="1"/>
    <xf numFmtId="0" fontId="17" fillId="0" borderId="5" xfId="0" applyFont="1" applyFill="1" applyBorder="1"/>
    <xf numFmtId="0" fontId="17" fillId="0" borderId="6" xfId="0" applyFont="1" applyFill="1" applyBorder="1"/>
    <xf numFmtId="0" fontId="18" fillId="0" borderId="0" xfId="0" applyFont="1" applyFill="1" applyBorder="1"/>
    <xf numFmtId="0" fontId="19" fillId="5" borderId="7" xfId="0" applyFont="1" applyFill="1" applyBorder="1" applyAlignment="1"/>
    <xf numFmtId="0" fontId="0" fillId="0" borderId="0" xfId="0" applyAlignment="1">
      <alignment horizontal="left"/>
    </xf>
    <xf numFmtId="14" fontId="14" fillId="0" borderId="0" xfId="0" applyNumberFormat="1" applyFont="1" applyAlignment="1">
      <alignment horizontal="left"/>
    </xf>
    <xf numFmtId="49" fontId="12" fillId="0" borderId="0" xfId="1" applyNumberFormat="1" applyFill="1" applyBorder="1" applyAlignment="1"/>
    <xf numFmtId="0" fontId="14" fillId="0" borderId="2" xfId="0" applyFont="1" applyBorder="1"/>
    <xf numFmtId="49" fontId="14" fillId="0" borderId="2" xfId="0" applyNumberFormat="1" applyFont="1" applyBorder="1" applyAlignment="1">
      <alignment horizontal="right"/>
    </xf>
    <xf numFmtId="49" fontId="21" fillId="0" borderId="0" xfId="1" applyNumberFormat="1" applyFont="1" applyFill="1" applyBorder="1" applyAlignment="1"/>
    <xf numFmtId="49" fontId="15" fillId="4" borderId="2" xfId="0" applyNumberFormat="1" applyFont="1" applyFill="1" applyBorder="1" applyAlignment="1">
      <alignment horizontal="left"/>
    </xf>
    <xf numFmtId="14" fontId="15" fillId="6" borderId="2" xfId="0" applyNumberFormat="1" applyFont="1" applyFill="1" applyBorder="1" applyAlignment="1">
      <alignment horizontal="left"/>
    </xf>
    <xf numFmtId="0" fontId="0" fillId="0" borderId="0" xfId="0"/>
    <xf numFmtId="0" fontId="2" fillId="0" borderId="0" xfId="0" applyFont="1" applyAlignment="1"/>
    <xf numFmtId="0" fontId="1" fillId="0" borderId="0" xfId="0" applyFont="1" applyBorder="1" applyAlignment="1"/>
    <xf numFmtId="0" fontId="20" fillId="0" borderId="0" xfId="0" applyFont="1" applyAlignment="1"/>
    <xf numFmtId="0" fontId="3" fillId="0" borderId="0" xfId="0" applyFont="1" applyAlignment="1"/>
    <xf numFmtId="0" fontId="3" fillId="0" borderId="0" xfId="0" applyFont="1" applyAlignment="1">
      <alignment horizontal="center"/>
    </xf>
    <xf numFmtId="0" fontId="1" fillId="0" borderId="0" xfId="0" applyFont="1" applyAlignment="1">
      <alignment horizontal="right"/>
    </xf>
    <xf numFmtId="49" fontId="1" fillId="0" borderId="0" xfId="0" applyNumberFormat="1" applyFont="1" applyBorder="1" applyAlignment="1"/>
    <xf numFmtId="0" fontId="23" fillId="0" borderId="0" xfId="0" applyFont="1" applyAlignment="1"/>
    <xf numFmtId="0" fontId="23" fillId="0" borderId="0" xfId="0" applyFont="1" applyBorder="1" applyAlignment="1"/>
    <xf numFmtId="0" fontId="23" fillId="0" borderId="0" xfId="0" applyFont="1"/>
    <xf numFmtId="0" fontId="8" fillId="0" borderId="4" xfId="0" applyFont="1" applyBorder="1" applyAlignment="1">
      <alignment horizontal="left" vertical="center" wrapText="1"/>
    </xf>
    <xf numFmtId="0" fontId="9" fillId="0" borderId="4" xfId="0" applyFont="1" applyBorder="1" applyAlignment="1">
      <alignment horizontal="left" vertical="center" wrapText="1"/>
    </xf>
    <xf numFmtId="0" fontId="24" fillId="7" borderId="8" xfId="0" applyFont="1" applyFill="1" applyBorder="1"/>
    <xf numFmtId="0" fontId="24" fillId="7" borderId="9" xfId="0" applyFont="1" applyFill="1" applyBorder="1" applyAlignment="1">
      <alignment horizontal="left"/>
    </xf>
    <xf numFmtId="0" fontId="24" fillId="7" borderId="9" xfId="0" applyFont="1" applyFill="1" applyBorder="1"/>
    <xf numFmtId="0" fontId="13" fillId="7" borderId="9" xfId="0" applyFont="1" applyFill="1" applyBorder="1" applyAlignment="1">
      <alignment horizontal="right"/>
    </xf>
    <xf numFmtId="0" fontId="13" fillId="7" borderId="10" xfId="0" applyFont="1" applyFill="1" applyBorder="1"/>
    <xf numFmtId="0" fontId="8" fillId="0" borderId="4" xfId="0" applyFont="1" applyBorder="1" applyAlignment="1">
      <alignment vertical="center" wrapText="1"/>
    </xf>
    <xf numFmtId="0" fontId="8" fillId="0" borderId="4" xfId="0" applyFont="1" applyBorder="1" applyAlignment="1">
      <alignment vertical="center"/>
    </xf>
    <xf numFmtId="0" fontId="9" fillId="0" borderId="4" xfId="0" applyFont="1" applyBorder="1" applyAlignment="1">
      <alignment vertical="center" wrapText="1"/>
    </xf>
    <xf numFmtId="0" fontId="8" fillId="0" borderId="1" xfId="0" applyFont="1" applyBorder="1" applyAlignment="1">
      <alignment vertical="center"/>
    </xf>
    <xf numFmtId="0" fontId="7" fillId="0" borderId="2" xfId="0" applyFont="1" applyBorder="1" applyAlignment="1">
      <alignment vertical="center" wrapText="1"/>
    </xf>
    <xf numFmtId="0" fontId="7" fillId="0" borderId="2" xfId="0" applyFont="1" applyFill="1" applyBorder="1" applyAlignment="1">
      <alignment vertical="center" wrapText="1"/>
    </xf>
    <xf numFmtId="0" fontId="7" fillId="8" borderId="2" xfId="0" applyFont="1" applyFill="1" applyBorder="1" applyAlignment="1">
      <alignment vertical="center" wrapText="1"/>
    </xf>
    <xf numFmtId="0" fontId="7" fillId="8" borderId="11" xfId="0" applyFont="1" applyFill="1" applyBorder="1" applyAlignment="1">
      <alignment vertical="center" wrapText="1"/>
    </xf>
    <xf numFmtId="0" fontId="0" fillId="0" borderId="0" xfId="0" applyFont="1"/>
    <xf numFmtId="0" fontId="0" fillId="0" borderId="0" xfId="0"/>
    <xf numFmtId="0" fontId="6" fillId="3" borderId="4" xfId="1" applyFont="1" applyFill="1" applyBorder="1"/>
    <xf numFmtId="0" fontId="3" fillId="0" borderId="0" xfId="0" applyFont="1" applyBorder="1" applyAlignment="1">
      <alignment horizontal="center"/>
    </xf>
    <xf numFmtId="0" fontId="31" fillId="0" borderId="0" xfId="0" applyFont="1" applyBorder="1" applyAlignment="1">
      <alignment horizontal="center"/>
    </xf>
    <xf numFmtId="0" fontId="15" fillId="4" borderId="20" xfId="0" applyFont="1" applyFill="1" applyBorder="1" applyAlignment="1">
      <alignment horizontal="left"/>
    </xf>
    <xf numFmtId="0" fontId="0" fillId="0" borderId="0" xfId="0" applyAlignment="1">
      <alignment wrapText="1"/>
    </xf>
    <xf numFmtId="0" fontId="32" fillId="0" borderId="0" xfId="0" applyFont="1" applyBorder="1" applyAlignment="1">
      <alignment vertical="center" wrapText="1"/>
    </xf>
    <xf numFmtId="49" fontId="15" fillId="3" borderId="2" xfId="0" applyNumberFormat="1" applyFont="1" applyFill="1" applyBorder="1" applyAlignment="1">
      <alignment horizontal="left"/>
    </xf>
    <xf numFmtId="0" fontId="7" fillId="0" borderId="3" xfId="0" applyFont="1" applyBorder="1" applyAlignment="1">
      <alignment vertical="center" wrapText="1"/>
    </xf>
    <xf numFmtId="0" fontId="7" fillId="0" borderId="3" xfId="0" applyFont="1" applyBorder="1" applyAlignment="1">
      <alignment horizontal="left" vertical="center"/>
    </xf>
    <xf numFmtId="0" fontId="14" fillId="0" borderId="3" xfId="0" applyFont="1" applyBorder="1"/>
    <xf numFmtId="49" fontId="14" fillId="0" borderId="3" xfId="0" applyNumberFormat="1" applyFont="1" applyBorder="1" applyAlignment="1">
      <alignment horizontal="right"/>
    </xf>
    <xf numFmtId="0" fontId="39" fillId="0" borderId="0" xfId="0" applyFont="1"/>
    <xf numFmtId="0" fontId="39" fillId="0" borderId="0" xfId="1" applyFont="1" applyFill="1" applyBorder="1" applyAlignment="1"/>
    <xf numFmtId="49" fontId="14" fillId="5" borderId="2" xfId="0" applyNumberFormat="1" applyFont="1" applyFill="1" applyBorder="1" applyAlignment="1">
      <alignment horizontal="center" vertical="center"/>
    </xf>
    <xf numFmtId="0" fontId="7" fillId="0" borderId="3" xfId="0" applyFont="1" applyBorder="1" applyAlignment="1">
      <alignment horizontal="left" vertical="center" wrapText="1"/>
    </xf>
    <xf numFmtId="165" fontId="15" fillId="4" borderId="2" xfId="0" applyNumberFormat="1" applyFont="1" applyFill="1" applyBorder="1" applyAlignment="1">
      <alignment horizontal="left"/>
    </xf>
    <xf numFmtId="0" fontId="14" fillId="0" borderId="0" xfId="0" applyFont="1"/>
    <xf numFmtId="0" fontId="12" fillId="3" borderId="2" xfId="1" applyFill="1" applyBorder="1" applyAlignment="1">
      <alignment wrapText="1"/>
    </xf>
    <xf numFmtId="0" fontId="28" fillId="0" borderId="12" xfId="0" applyFont="1" applyBorder="1" applyAlignment="1">
      <alignment vertical="top"/>
    </xf>
    <xf numFmtId="49" fontId="28" fillId="0" borderId="12" xfId="0" applyNumberFormat="1" applyFont="1" applyBorder="1" applyAlignment="1">
      <alignment vertical="top"/>
    </xf>
    <xf numFmtId="0" fontId="28" fillId="0" borderId="12" xfId="0" applyFont="1" applyBorder="1" applyAlignment="1">
      <alignment horizontal="center" vertical="top"/>
    </xf>
    <xf numFmtId="0" fontId="28" fillId="0" borderId="12" xfId="0" applyFont="1" applyBorder="1" applyAlignment="1">
      <alignment horizontal="center" vertical="center" wrapText="1"/>
    </xf>
    <xf numFmtId="0" fontId="28" fillId="0" borderId="13" xfId="0" applyFont="1" applyBorder="1" applyAlignment="1">
      <alignment horizontal="center" vertical="center" wrapText="1"/>
    </xf>
    <xf numFmtId="0" fontId="1" fillId="0" borderId="0" xfId="0" applyFont="1" applyAlignment="1">
      <alignment horizontal="center"/>
    </xf>
    <xf numFmtId="0" fontId="27" fillId="0" borderId="18" xfId="0" applyFont="1" applyBorder="1" applyAlignment="1">
      <alignment horizontal="center" vertical="center"/>
    </xf>
    <xf numFmtId="0" fontId="28" fillId="0" borderId="18" xfId="0" applyFont="1" applyBorder="1" applyAlignment="1">
      <alignment horizontal="center" vertical="center"/>
    </xf>
    <xf numFmtId="0" fontId="28" fillId="0" borderId="19" xfId="0" applyFont="1" applyBorder="1" applyAlignment="1">
      <alignment horizontal="center" vertical="center"/>
    </xf>
    <xf numFmtId="0" fontId="27" fillId="0" borderId="12" xfId="0" applyFont="1" applyBorder="1" applyAlignment="1">
      <alignment horizontal="center" vertical="center"/>
    </xf>
    <xf numFmtId="0" fontId="27" fillId="0" borderId="0" xfId="0" applyFont="1" applyBorder="1" applyAlignment="1">
      <alignment horizontal="center" vertical="center"/>
    </xf>
    <xf numFmtId="49" fontId="27" fillId="0" borderId="2" xfId="0" applyNumberFormat="1" applyFont="1" applyBorder="1" applyAlignment="1">
      <alignment vertical="center"/>
    </xf>
    <xf numFmtId="0" fontId="35" fillId="0" borderId="0" xfId="0" applyFont="1" applyAlignment="1"/>
    <xf numFmtId="0" fontId="23" fillId="0" borderId="0" xfId="0" applyFont="1" applyBorder="1"/>
    <xf numFmtId="0" fontId="23" fillId="0" borderId="0" xfId="0" applyFont="1" applyAlignment="1">
      <alignment wrapText="1"/>
    </xf>
    <xf numFmtId="0" fontId="28" fillId="0" borderId="12" xfId="0" applyFont="1" applyBorder="1" applyAlignment="1">
      <alignment horizontal="center" vertical="center"/>
    </xf>
    <xf numFmtId="0" fontId="28" fillId="0" borderId="13" xfId="0" applyFont="1" applyBorder="1" applyAlignment="1">
      <alignment horizontal="center" vertical="center"/>
    </xf>
    <xf numFmtId="0" fontId="28" fillId="0" borderId="0" xfId="0" applyFont="1" applyBorder="1" applyAlignment="1">
      <alignment vertical="center"/>
    </xf>
    <xf numFmtId="0" fontId="28" fillId="0" borderId="0" xfId="0" applyFont="1" applyBorder="1"/>
    <xf numFmtId="0" fontId="23" fillId="0" borderId="1" xfId="0" applyFont="1" applyBorder="1"/>
    <xf numFmtId="0" fontId="32" fillId="0" borderId="0" xfId="0" applyFont="1" applyBorder="1" applyAlignment="1">
      <alignment horizontal="center" vertical="center"/>
    </xf>
    <xf numFmtId="0" fontId="32" fillId="0" borderId="0" xfId="0" applyFont="1" applyBorder="1" applyAlignment="1">
      <alignment horizontal="left" vertical="center" wrapText="1"/>
    </xf>
    <xf numFmtId="165" fontId="27" fillId="0" borderId="17" xfId="0" applyNumberFormat="1" applyFont="1" applyBorder="1" applyAlignment="1">
      <alignment horizontal="center" vertical="center"/>
    </xf>
    <xf numFmtId="165" fontId="27" fillId="0" borderId="18" xfId="0" applyNumberFormat="1" applyFont="1" applyBorder="1" applyAlignment="1">
      <alignment horizontal="center" vertical="center"/>
    </xf>
    <xf numFmtId="165" fontId="27" fillId="0" borderId="19" xfId="0" applyNumberFormat="1" applyFont="1" applyBorder="1" applyAlignment="1">
      <alignment horizontal="center" vertical="center"/>
    </xf>
    <xf numFmtId="0" fontId="28" fillId="0" borderId="2" xfId="0" applyFont="1" applyBorder="1" applyAlignment="1">
      <alignment horizontal="center" vertical="center"/>
    </xf>
    <xf numFmtId="0" fontId="28" fillId="0" borderId="15" xfId="0" applyFont="1" applyBorder="1" applyAlignment="1">
      <alignment horizontal="center" vertical="center" wrapText="1"/>
    </xf>
    <xf numFmtId="0" fontId="28" fillId="0" borderId="12" xfId="0" applyFont="1" applyBorder="1" applyAlignment="1">
      <alignment horizontal="center" vertical="center" wrapText="1"/>
    </xf>
    <xf numFmtId="0" fontId="28" fillId="0" borderId="13" xfId="0" applyFont="1" applyBorder="1" applyAlignment="1">
      <alignment horizontal="center" vertical="center" wrapText="1"/>
    </xf>
    <xf numFmtId="0" fontId="28" fillId="0" borderId="4" xfId="0" applyFont="1" applyBorder="1" applyAlignment="1">
      <alignment horizontal="center" vertical="center" wrapText="1"/>
    </xf>
    <xf numFmtId="0" fontId="28" fillId="0" borderId="0" xfId="0" applyFont="1" applyBorder="1" applyAlignment="1">
      <alignment horizontal="center" vertical="center" wrapText="1"/>
    </xf>
    <xf numFmtId="0" fontId="28" fillId="0" borderId="14" xfId="0" applyFont="1" applyBorder="1" applyAlignment="1">
      <alignment horizontal="center" vertical="center" wrapText="1"/>
    </xf>
    <xf numFmtId="0" fontId="28" fillId="0" borderId="10" xfId="0" applyFont="1" applyBorder="1" applyAlignment="1">
      <alignment horizontal="center" vertical="center" wrapText="1"/>
    </xf>
    <xf numFmtId="0" fontId="28" fillId="0" borderId="1" xfId="0" applyFont="1" applyBorder="1" applyAlignment="1">
      <alignment horizontal="center" vertical="center" wrapText="1"/>
    </xf>
    <xf numFmtId="0" fontId="28" fillId="0" borderId="8" xfId="0" applyFont="1" applyBorder="1" applyAlignment="1">
      <alignment horizontal="center" vertical="center" wrapText="1"/>
    </xf>
    <xf numFmtId="0" fontId="34" fillId="0" borderId="17" xfId="0" applyFont="1" applyBorder="1" applyAlignment="1">
      <alignment horizontal="center"/>
    </xf>
    <xf numFmtId="0" fontId="40" fillId="0" borderId="18" xfId="0" applyFont="1" applyBorder="1"/>
    <xf numFmtId="0" fontId="40" fillId="0" borderId="19" xfId="0" applyFont="1" applyBorder="1"/>
    <xf numFmtId="0" fontId="34" fillId="0" borderId="17" xfId="0" applyFont="1" applyBorder="1" applyAlignment="1">
      <alignment horizontal="center" wrapText="1"/>
    </xf>
    <xf numFmtId="165" fontId="34" fillId="0" borderId="17" xfId="0" applyNumberFormat="1" applyFont="1" applyBorder="1" applyAlignment="1">
      <alignment horizontal="center"/>
    </xf>
    <xf numFmtId="165" fontId="40" fillId="0" borderId="18" xfId="0" applyNumberFormat="1" applyFont="1" applyBorder="1"/>
    <xf numFmtId="165" fontId="40" fillId="0" borderId="19" xfId="0" applyNumberFormat="1" applyFont="1" applyBorder="1"/>
    <xf numFmtId="164" fontId="25" fillId="0" borderId="0" xfId="0" applyNumberFormat="1" applyFont="1" applyBorder="1" applyAlignment="1">
      <alignment horizontal="left"/>
    </xf>
    <xf numFmtId="0" fontId="1" fillId="0" borderId="0" xfId="0" applyFont="1" applyAlignment="1">
      <alignment wrapText="1"/>
    </xf>
    <xf numFmtId="0" fontId="23" fillId="0" borderId="0" xfId="0" applyFont="1" applyAlignment="1">
      <alignment wrapText="1"/>
    </xf>
    <xf numFmtId="0" fontId="1" fillId="0" borderId="0" xfId="0" applyFont="1" applyAlignment="1">
      <alignment horizontal="center"/>
    </xf>
    <xf numFmtId="167" fontId="27" fillId="0" borderId="17" xfId="0" applyNumberFormat="1" applyFont="1" applyBorder="1" applyAlignment="1">
      <alignment horizontal="center" vertical="center"/>
    </xf>
    <xf numFmtId="167" fontId="27" fillId="0" borderId="18" xfId="0" applyNumberFormat="1" applyFont="1" applyBorder="1" applyAlignment="1">
      <alignment horizontal="center" vertical="center"/>
    </xf>
    <xf numFmtId="167" fontId="27" fillId="0" borderId="19" xfId="0" applyNumberFormat="1" applyFont="1" applyBorder="1" applyAlignment="1">
      <alignment horizontal="center" vertical="center"/>
    </xf>
    <xf numFmtId="166" fontId="27" fillId="0" borderId="17" xfId="0" applyNumberFormat="1" applyFont="1" applyBorder="1" applyAlignment="1">
      <alignment horizontal="center" vertical="center"/>
    </xf>
    <xf numFmtId="166" fontId="27" fillId="0" borderId="18" xfId="0" applyNumberFormat="1" applyFont="1" applyBorder="1" applyAlignment="1">
      <alignment horizontal="center" vertical="center"/>
    </xf>
    <xf numFmtId="166" fontId="27" fillId="0" borderId="19" xfId="0" applyNumberFormat="1" applyFont="1" applyBorder="1" applyAlignment="1">
      <alignment horizontal="center" vertical="center"/>
    </xf>
    <xf numFmtId="165" fontId="28" fillId="0" borderId="18" xfId="0" applyNumberFormat="1" applyFont="1" applyBorder="1" applyAlignment="1">
      <alignment horizontal="center" vertical="center"/>
    </xf>
    <xf numFmtId="165" fontId="28" fillId="0" borderId="19" xfId="0" applyNumberFormat="1" applyFont="1" applyBorder="1" applyAlignment="1">
      <alignment horizontal="center" vertical="center"/>
    </xf>
    <xf numFmtId="0" fontId="4" fillId="0" borderId="12" xfId="0" applyFont="1" applyBorder="1" applyAlignment="1">
      <alignment horizontal="center"/>
    </xf>
    <xf numFmtId="0" fontId="1" fillId="0" borderId="0" xfId="0" applyFont="1" applyAlignment="1">
      <alignment horizontal="center" vertical="center"/>
    </xf>
    <xf numFmtId="164" fontId="23" fillId="0" borderId="0" xfId="0" applyNumberFormat="1" applyFont="1" applyBorder="1" applyAlignment="1">
      <alignment horizontal="center"/>
    </xf>
    <xf numFmtId="0" fontId="27" fillId="0" borderId="18" xfId="0" applyFont="1" applyBorder="1" applyAlignment="1">
      <alignment horizontal="left" vertical="center"/>
    </xf>
    <xf numFmtId="0" fontId="27" fillId="0" borderId="19" xfId="0" applyFont="1" applyBorder="1" applyAlignment="1">
      <alignment horizontal="left" vertical="center"/>
    </xf>
    <xf numFmtId="0" fontId="23" fillId="0" borderId="0" xfId="0" applyFont="1" applyAlignment="1">
      <alignment horizontal="center" wrapText="1"/>
    </xf>
    <xf numFmtId="0" fontId="2" fillId="0" borderId="0" xfId="0" applyFont="1" applyAlignment="1">
      <alignment horizontal="center" wrapText="1"/>
    </xf>
    <xf numFmtId="0" fontId="1" fillId="0" borderId="0" xfId="0" applyFont="1" applyBorder="1" applyAlignment="1">
      <alignment horizontal="center"/>
    </xf>
    <xf numFmtId="0" fontId="26" fillId="0" borderId="15" xfId="0" applyFont="1" applyBorder="1" applyAlignment="1">
      <alignment horizontal="center" vertical="center"/>
    </xf>
    <xf numFmtId="0" fontId="26" fillId="0" borderId="12" xfId="0" applyFont="1" applyBorder="1" applyAlignment="1">
      <alignment horizontal="center" vertical="center"/>
    </xf>
    <xf numFmtId="0" fontId="26" fillId="0" borderId="13" xfId="0" applyFont="1" applyBorder="1" applyAlignment="1">
      <alignment horizontal="center" vertical="center"/>
    </xf>
    <xf numFmtId="0" fontId="26" fillId="0" borderId="10" xfId="0" applyFont="1" applyBorder="1" applyAlignment="1">
      <alignment horizontal="center" vertical="center"/>
    </xf>
    <xf numFmtId="0" fontId="26" fillId="0" borderId="1" xfId="0" applyFont="1" applyBorder="1" applyAlignment="1">
      <alignment horizontal="center" vertical="center"/>
    </xf>
    <xf numFmtId="0" fontId="26" fillId="0" borderId="8" xfId="0" applyFont="1" applyBorder="1" applyAlignment="1">
      <alignment horizontal="center" vertical="center"/>
    </xf>
    <xf numFmtId="0" fontId="27" fillId="0" borderId="17" xfId="0" applyFont="1" applyBorder="1" applyAlignment="1">
      <alignment horizontal="center" vertical="center"/>
    </xf>
    <xf numFmtId="0" fontId="27" fillId="0" borderId="18" xfId="0" applyFont="1" applyBorder="1" applyAlignment="1">
      <alignment horizontal="center" vertical="center"/>
    </xf>
    <xf numFmtId="0" fontId="27" fillId="0" borderId="19" xfId="0" applyFont="1" applyBorder="1" applyAlignment="1">
      <alignment horizontal="center" vertical="center"/>
    </xf>
    <xf numFmtId="167" fontId="28" fillId="0" borderId="18" xfId="0" applyNumberFormat="1" applyFont="1" applyBorder="1" applyAlignment="1">
      <alignment horizontal="center" vertical="center"/>
    </xf>
    <xf numFmtId="167" fontId="28" fillId="0" borderId="19" xfId="0" applyNumberFormat="1" applyFont="1" applyBorder="1" applyAlignment="1">
      <alignment horizontal="center" vertical="center"/>
    </xf>
    <xf numFmtId="0" fontId="31" fillId="0" borderId="15" xfId="0" applyFont="1" applyBorder="1" applyAlignment="1">
      <alignment horizontal="center" wrapText="1"/>
    </xf>
    <xf numFmtId="0" fontId="23" fillId="0" borderId="12" xfId="0" applyFont="1" applyBorder="1"/>
    <xf numFmtId="0" fontId="23" fillId="0" borderId="13" xfId="0" applyFont="1" applyBorder="1"/>
    <xf numFmtId="0" fontId="23" fillId="0" borderId="10" xfId="0" applyFont="1" applyBorder="1"/>
    <xf numFmtId="0" fontId="23" fillId="0" borderId="1" xfId="0" applyFont="1" applyBorder="1"/>
    <xf numFmtId="0" fontId="23" fillId="0" borderId="8" xfId="0" applyFont="1" applyBorder="1"/>
    <xf numFmtId="0" fontId="34" fillId="0" borderId="17" xfId="0" applyFont="1" applyBorder="1" applyAlignment="1">
      <alignment horizontal="left" vertical="center"/>
    </xf>
    <xf numFmtId="0" fontId="34" fillId="0" borderId="17" xfId="0" applyFont="1" applyBorder="1" applyAlignment="1">
      <alignment vertical="center"/>
    </xf>
    <xf numFmtId="0" fontId="40" fillId="0" borderId="18" xfId="0" applyFont="1" applyBorder="1" applyAlignment="1"/>
    <xf numFmtId="0" fontId="40" fillId="0" borderId="19" xfId="0" applyFont="1" applyBorder="1" applyAlignment="1"/>
    <xf numFmtId="0" fontId="23" fillId="0" borderId="15" xfId="0" applyFont="1" applyBorder="1" applyAlignment="1">
      <alignment horizontal="center" vertical="center"/>
    </xf>
    <xf numFmtId="0" fontId="28" fillId="0" borderId="17" xfId="0" applyFont="1" applyBorder="1" applyAlignment="1">
      <alignment horizontal="center" vertical="center"/>
    </xf>
    <xf numFmtId="0" fontId="28" fillId="0" borderId="18" xfId="0" applyFont="1" applyBorder="1" applyAlignment="1">
      <alignment horizontal="center" vertical="center"/>
    </xf>
    <xf numFmtId="0" fontId="28" fillId="0" borderId="19" xfId="0" applyFont="1" applyBorder="1" applyAlignment="1">
      <alignment horizontal="center" vertical="center"/>
    </xf>
    <xf numFmtId="0" fontId="23" fillId="0" borderId="0" xfId="0" applyFont="1" applyAlignment="1">
      <alignment horizontal="left" wrapText="1"/>
    </xf>
    <xf numFmtId="0" fontId="1" fillId="0" borderId="0" xfId="0" applyFont="1" applyAlignment="1">
      <alignment horizontal="left" wrapText="1"/>
    </xf>
    <xf numFmtId="0" fontId="28" fillId="0" borderId="15" xfId="0" applyFont="1" applyBorder="1" applyAlignment="1">
      <alignment horizontal="center" vertical="center"/>
    </xf>
    <xf numFmtId="0" fontId="28" fillId="0" borderId="12" xfId="0" applyFont="1" applyBorder="1" applyAlignment="1">
      <alignment horizontal="center" vertical="center"/>
    </xf>
    <xf numFmtId="0" fontId="28" fillId="0" borderId="13" xfId="0" applyFont="1" applyBorder="1" applyAlignment="1">
      <alignment horizontal="center" vertical="center"/>
    </xf>
    <xf numFmtId="0" fontId="28" fillId="0" borderId="4" xfId="0" applyFont="1" applyBorder="1" applyAlignment="1">
      <alignment horizontal="center" vertical="center"/>
    </xf>
    <xf numFmtId="0" fontId="28" fillId="0" borderId="0" xfId="0" applyFont="1" applyBorder="1" applyAlignment="1">
      <alignment horizontal="center" vertical="center"/>
    </xf>
    <xf numFmtId="0" fontId="28" fillId="0" borderId="14" xfId="0" applyFont="1" applyBorder="1" applyAlignment="1">
      <alignment horizontal="center" vertical="center"/>
    </xf>
    <xf numFmtId="0" fontId="28" fillId="0" borderId="10" xfId="0" applyFont="1" applyBorder="1" applyAlignment="1">
      <alignment horizontal="center" vertical="center"/>
    </xf>
    <xf numFmtId="0" fontId="28" fillId="0" borderId="1" xfId="0" applyFont="1" applyBorder="1" applyAlignment="1">
      <alignment horizontal="center" vertical="center"/>
    </xf>
    <xf numFmtId="0" fontId="28" fillId="0" borderId="8" xfId="0" applyFont="1" applyBorder="1" applyAlignment="1">
      <alignment horizontal="center" vertical="center"/>
    </xf>
    <xf numFmtId="0" fontId="26" fillId="0" borderId="4" xfId="0" applyFont="1" applyBorder="1" applyAlignment="1">
      <alignment horizontal="center" vertical="center"/>
    </xf>
    <xf numFmtId="0" fontId="26" fillId="0" borderId="0" xfId="0" applyFont="1" applyBorder="1" applyAlignment="1">
      <alignment horizontal="center" vertical="center"/>
    </xf>
    <xf numFmtId="0" fontId="26" fillId="0" borderId="14" xfId="0" applyFont="1" applyBorder="1" applyAlignment="1">
      <alignment horizontal="center" vertical="center"/>
    </xf>
    <xf numFmtId="0" fontId="11" fillId="0" borderId="0" xfId="0" applyFont="1" applyAlignment="1">
      <alignment horizontal="center"/>
    </xf>
    <xf numFmtId="0" fontId="22" fillId="0" borderId="0" xfId="0" applyFont="1" applyAlignment="1">
      <alignment horizontal="center"/>
    </xf>
    <xf numFmtId="0" fontId="35" fillId="0" borderId="0" xfId="0" applyFont="1" applyAlignment="1">
      <alignment horizontal="center"/>
    </xf>
    <xf numFmtId="0" fontId="27" fillId="0" borderId="2" xfId="0" applyNumberFormat="1" applyFont="1" applyBorder="1" applyAlignment="1">
      <alignment horizontal="center" vertical="center"/>
    </xf>
    <xf numFmtId="0" fontId="28" fillId="0" borderId="12" xfId="0" applyFont="1" applyBorder="1" applyAlignment="1">
      <alignment horizontal="left" vertical="center" wrapText="1"/>
    </xf>
    <xf numFmtId="0" fontId="27" fillId="0" borderId="17" xfId="0" applyFont="1" applyBorder="1" applyAlignment="1">
      <alignment horizontal="right" vertical="center"/>
    </xf>
    <xf numFmtId="0" fontId="27" fillId="0" borderId="18" xfId="0" applyFont="1" applyBorder="1" applyAlignment="1">
      <alignment horizontal="right" vertical="center"/>
    </xf>
    <xf numFmtId="0" fontId="28" fillId="0" borderId="17" xfId="0" applyFont="1" applyBorder="1" applyAlignment="1">
      <alignment horizontal="center" vertical="center" wrapText="1"/>
    </xf>
    <xf numFmtId="0" fontId="28" fillId="0" borderId="18" xfId="0" applyFont="1" applyBorder="1" applyAlignment="1">
      <alignment horizontal="center" vertical="center" wrapText="1"/>
    </xf>
    <xf numFmtId="0" fontId="27" fillId="0" borderId="15" xfId="0" applyFont="1" applyBorder="1" applyAlignment="1">
      <alignment horizontal="center" vertical="center"/>
    </xf>
    <xf numFmtId="0" fontId="27" fillId="0" borderId="12" xfId="0" applyFont="1" applyBorder="1" applyAlignment="1">
      <alignment horizontal="center" vertical="center"/>
    </xf>
    <xf numFmtId="0" fontId="27" fillId="0" borderId="13" xfId="0" applyFont="1" applyBorder="1" applyAlignment="1">
      <alignment horizontal="center" vertical="center"/>
    </xf>
    <xf numFmtId="0" fontId="27" fillId="0" borderId="4" xfId="0" applyFont="1" applyBorder="1" applyAlignment="1">
      <alignment horizontal="center" vertical="center"/>
    </xf>
    <xf numFmtId="0" fontId="27" fillId="0" borderId="0" xfId="0" applyFont="1" applyBorder="1" applyAlignment="1">
      <alignment horizontal="center" vertical="center"/>
    </xf>
    <xf numFmtId="0" fontId="27" fillId="0" borderId="14" xfId="0" applyFont="1" applyBorder="1" applyAlignment="1">
      <alignment horizontal="center" vertical="center"/>
    </xf>
    <xf numFmtId="0" fontId="27" fillId="0" borderId="10" xfId="0" applyFont="1" applyBorder="1" applyAlignment="1">
      <alignment horizontal="center" vertical="center"/>
    </xf>
    <xf numFmtId="0" fontId="27" fillId="0" borderId="1" xfId="0" applyFont="1" applyBorder="1" applyAlignment="1">
      <alignment horizontal="center" vertical="center"/>
    </xf>
    <xf numFmtId="0" fontId="27" fillId="0" borderId="8" xfId="0" applyFont="1" applyBorder="1" applyAlignment="1">
      <alignment horizontal="center" vertical="center"/>
    </xf>
    <xf numFmtId="166" fontId="27" fillId="0" borderId="2" xfId="0" applyNumberFormat="1" applyFont="1" applyBorder="1" applyAlignment="1">
      <alignment horizontal="center" vertical="center"/>
    </xf>
    <xf numFmtId="49" fontId="27" fillId="0" borderId="2" xfId="0" applyNumberFormat="1" applyFont="1" applyBorder="1" applyAlignment="1">
      <alignment horizontal="center" vertical="center"/>
    </xf>
    <xf numFmtId="0" fontId="10" fillId="0" borderId="0" xfId="0" applyFont="1" applyBorder="1" applyAlignment="1">
      <alignment horizontal="center"/>
    </xf>
    <xf numFmtId="0" fontId="13" fillId="4" borderId="0" xfId="1" applyFont="1" applyFill="1" applyBorder="1" applyAlignment="1">
      <alignment horizontal="center"/>
    </xf>
    <xf numFmtId="0" fontId="0" fillId="0" borderId="0" xfId="0" applyFill="1" applyAlignment="1">
      <alignment horizontal="left"/>
    </xf>
  </cellXfs>
  <cellStyles count="2">
    <cellStyle name="Вывод" xfId="1" builtinId="21"/>
    <cellStyle name="Обычный" xfId="0" builtinId="0"/>
  </cellStyles>
  <dxfs count="17"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Times New Roman"/>
        <scheme val="none"/>
      </font>
      <alignment horizontal="general" vertical="center" textRotation="0" wrapText="1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numFmt numFmtId="30" formatCode="@"/>
      <alignment horizontal="right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numFmt numFmtId="30" formatCode="@"/>
      <alignment horizontal="right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numFmt numFmtId="30" formatCode="@"/>
      <alignment horizontal="right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Times New Roman"/>
        <scheme val="none"/>
      </font>
      <alignment horizontal="left" vertical="center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Times New Roman"/>
        <scheme val="none"/>
      </font>
      <alignment horizontal="general" vertical="center" textRotation="0" wrapText="1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ill>
        <patternFill>
          <bgColor theme="3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</xdr:colOff>
          <xdr:row>17</xdr:row>
          <xdr:rowOff>22860</xdr:rowOff>
        </xdr:from>
        <xdr:to>
          <xdr:col>1</xdr:col>
          <xdr:colOff>2194560</xdr:colOff>
          <xdr:row>18</xdr:row>
          <xdr:rowOff>99060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ru-RU" sz="2000" b="1" i="0" u="none" strike="noStrike" baseline="0">
                  <a:solidFill>
                    <a:srgbClr val="FF9900"/>
                  </a:solidFill>
                  <a:latin typeface="Calibri"/>
                  <a:ea typeface="Calibri"/>
                  <a:cs typeface="Calibri"/>
                </a:rPr>
                <a:t>Сохранить - Выйти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</xdr:colOff>
          <xdr:row>15</xdr:row>
          <xdr:rowOff>7620</xdr:rowOff>
        </xdr:from>
        <xdr:to>
          <xdr:col>1</xdr:col>
          <xdr:colOff>2194560</xdr:colOff>
          <xdr:row>17</xdr:row>
          <xdr:rowOff>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ru-RU" sz="2000" b="1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Сохранить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19</xdr:row>
          <xdr:rowOff>7620</xdr:rowOff>
        </xdr:from>
        <xdr:to>
          <xdr:col>1</xdr:col>
          <xdr:colOff>2194560</xdr:colOff>
          <xdr:row>21</xdr:row>
          <xdr:rowOff>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400" b="1" i="0" u="none" strike="noStrike" baseline="0">
                  <a:solidFill>
                    <a:srgbClr val="339966"/>
                  </a:solidFill>
                  <a:latin typeface="Calibri"/>
                  <a:ea typeface="Calibri"/>
                  <a:cs typeface="Calibri"/>
                </a:rPr>
                <a:t>Сохранить - Напечатать - Выйти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D78C1EA-077A-4B6E-B04D-027C94016F8E}" name="Таблица22" displayName="Таблица22" ref="K53:W102" totalsRowShown="0" headerRowBorderDxfId="14" tableBorderDxfId="13">
  <autoFilter ref="K53:W102" xr:uid="{7A55A5C8-AE78-47C5-9E5F-61F0512EFD5C}"/>
  <tableColumns count="13">
    <tableColumn id="1" xr3:uid="{DB2BFEFC-144F-45D1-A0A2-006DB791906C}" name="тип" dataDxfId="12"/>
    <tableColumn id="2" xr3:uid="{ED5E1588-9715-4A54-A0D1-2A49C4AC9AA2}" name="мп" dataDxfId="11"/>
    <tableColumn id="3" xr3:uid="{62A0B04F-6A7B-435B-91ED-AC4579B1553F}" name="min" dataDxfId="10"/>
    <tableColumn id="4" xr3:uid="{4891998B-7F9F-45C9-86C2-4DBE8C6FEEF5}" name="перех А" dataDxfId="9"/>
    <tableColumn id="5" xr3:uid="{3ADB5F24-D79A-4F44-9383-84701A49EA67}" name="перех B" dataDxfId="8"/>
    <tableColumn id="6" xr3:uid="{0DD83C66-9C5E-4238-912C-C82F865402BD}" name="ном" dataDxfId="7"/>
    <tableColumn id="7" xr3:uid="{DA830BFF-5B83-4FFF-9B87-46A49C6C8B31}" name="max" dataDxfId="6"/>
    <tableColumn id="8" xr3:uid="{41977AB7-134F-4FF7-9C55-0D590DE8A678}" name="порг1" dataDxfId="5"/>
    <tableColumn id="9" xr3:uid="{EA650B12-A6F3-4AD9-8592-23C30A8625AD}" name="погр2" dataDxfId="4"/>
    <tableColumn id="10" xr3:uid="{B4B09A14-BE2C-4879-8039-91BA1325B6F6}" name="Столбец1" dataDxfId="3"/>
    <tableColumn id="11" xr3:uid="{7AE7A9EA-5F38-47F8-A80B-404AC2C35340}" name="Столбец2" dataDxfId="2"/>
    <tableColumn id="12" xr3:uid="{1D1F0254-8B7A-45C8-BE57-4722B28C3763}" name="Столбец3" dataDxfId="1"/>
    <tableColumn id="14" xr3:uid="{18716490-9E5C-4B13-B4DC-6E1B4C836F2B}" name="Столбец4" dataDxfId="0"/>
  </tableColumns>
  <tableStyleInfo name="TableStyleMedium4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.xml"/><Relationship Id="rId3" Type="http://schemas.openxmlformats.org/officeDocument/2006/relationships/drawing" Target="../drawings/drawing1.xml"/><Relationship Id="rId7" Type="http://schemas.openxmlformats.org/officeDocument/2006/relationships/ctrlProp" Target="../ctrlProps/ctrlProp3.xml"/><Relationship Id="rId2" Type="http://schemas.openxmlformats.org/officeDocument/2006/relationships/customProperty" Target="../customProperty2.bin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3"/>
  <dimension ref="A1:CB2172"/>
  <sheetViews>
    <sheetView tabSelected="1" view="pageLayout" zoomScale="112" zoomScaleNormal="100" zoomScaleSheetLayoutView="200" zoomScalePageLayoutView="112" workbookViewId="0">
      <selection activeCell="AL13" sqref="AL13"/>
    </sheetView>
  </sheetViews>
  <sheetFormatPr defaultRowHeight="14.4" x14ac:dyDescent="0.3"/>
  <cols>
    <col min="1" max="6" width="1.44140625" customWidth="1"/>
    <col min="7" max="7" width="4.109375" customWidth="1"/>
    <col min="8" max="13" width="1.44140625" customWidth="1"/>
    <col min="14" max="14" width="0.88671875" customWidth="1"/>
    <col min="15" max="15" width="1.44140625" hidden="1" customWidth="1"/>
    <col min="16" max="16" width="0.109375" customWidth="1"/>
    <col min="17" max="17" width="1.44140625" hidden="1" customWidth="1"/>
    <col min="18" max="18" width="1" hidden="1" customWidth="1"/>
    <col min="19" max="21" width="1.44140625" hidden="1" customWidth="1"/>
    <col min="22" max="25" width="1.44140625" customWidth="1"/>
    <col min="26" max="26" width="0.88671875" customWidth="1"/>
    <col min="27" max="27" width="1.44140625" hidden="1" customWidth="1"/>
    <col min="28" max="28" width="0.109375" customWidth="1"/>
    <col min="29" max="29" width="1.44140625" customWidth="1"/>
    <col min="30" max="30" width="2" customWidth="1"/>
    <col min="31" max="31" width="5.5546875" customWidth="1"/>
    <col min="32" max="35" width="1.44140625" hidden="1" customWidth="1"/>
    <col min="36" max="36" width="1.44140625" customWidth="1"/>
    <col min="37" max="40" width="1.44140625" style="60" customWidth="1"/>
    <col min="41" max="41" width="3" customWidth="1"/>
    <col min="42" max="42" width="0.5546875" hidden="1" customWidth="1"/>
    <col min="43" max="43" width="2.88671875" customWidth="1"/>
    <col min="44" max="44" width="1.44140625" customWidth="1"/>
    <col min="45" max="45" width="0.88671875" customWidth="1"/>
    <col min="46" max="47" width="0.88671875" style="60" customWidth="1"/>
    <col min="48" max="48" width="3.44140625" customWidth="1"/>
    <col min="49" max="49" width="1.44140625" customWidth="1"/>
    <col min="50" max="50" width="1.6640625" customWidth="1"/>
    <col min="51" max="53" width="1.44140625" customWidth="1"/>
    <col min="54" max="54" width="0.33203125" customWidth="1"/>
    <col min="55" max="55" width="1.44140625" hidden="1" customWidth="1"/>
    <col min="56" max="56" width="1" customWidth="1"/>
    <col min="57" max="61" width="1.44140625" customWidth="1"/>
    <col min="62" max="62" width="1.44140625" hidden="1" customWidth="1"/>
    <col min="63" max="66" width="1.44140625" customWidth="1"/>
    <col min="67" max="67" width="1.44140625" hidden="1" customWidth="1"/>
    <col min="68" max="68" width="1" customWidth="1"/>
    <col min="69" max="70" width="1.44140625" customWidth="1"/>
    <col min="71" max="71" width="1.44140625" hidden="1" customWidth="1"/>
    <col min="72" max="77" width="1.44140625" customWidth="1"/>
  </cols>
  <sheetData>
    <row r="1" spans="1:80" ht="16.5" customHeight="1" x14ac:dyDescent="0.3">
      <c r="A1" s="181" t="s">
        <v>97</v>
      </c>
      <c r="B1" s="181"/>
      <c r="C1" s="181"/>
      <c r="D1" s="181"/>
      <c r="E1" s="181"/>
      <c r="F1" s="181"/>
      <c r="G1" s="181"/>
      <c r="H1" s="181"/>
      <c r="I1" s="181"/>
      <c r="J1" s="181"/>
      <c r="K1" s="181"/>
      <c r="L1" s="181"/>
      <c r="M1" s="181"/>
      <c r="N1" s="181"/>
      <c r="O1" s="181"/>
      <c r="P1" s="181"/>
      <c r="Q1" s="181"/>
      <c r="R1" s="181"/>
      <c r="S1" s="181"/>
      <c r="T1" s="181"/>
      <c r="U1" s="181"/>
      <c r="V1" s="181"/>
      <c r="W1" s="181"/>
      <c r="X1" s="181"/>
      <c r="Y1" s="181"/>
      <c r="Z1" s="181"/>
      <c r="AA1" s="181"/>
      <c r="AB1" s="181"/>
      <c r="AC1" s="181"/>
      <c r="AD1" s="181"/>
      <c r="AE1" s="181"/>
      <c r="AF1" s="181"/>
      <c r="AG1" s="181"/>
      <c r="AH1" s="181"/>
      <c r="AI1" s="181"/>
      <c r="AJ1" s="181"/>
      <c r="AK1" s="181"/>
      <c r="AL1" s="181"/>
      <c r="AM1" s="181"/>
      <c r="AN1" s="181"/>
      <c r="AO1" s="181"/>
      <c r="AP1" s="181"/>
      <c r="AQ1" s="181"/>
      <c r="AR1" s="181"/>
      <c r="AS1" s="181"/>
      <c r="AT1" s="181"/>
      <c r="AU1" s="181"/>
      <c r="AV1" s="181"/>
      <c r="AW1" s="181"/>
      <c r="AX1" s="181"/>
      <c r="AY1" s="181"/>
      <c r="AZ1" s="181"/>
      <c r="BA1" s="181"/>
      <c r="BB1" s="181"/>
      <c r="BC1" s="181"/>
      <c r="BD1" s="181"/>
      <c r="BE1" s="181"/>
      <c r="BF1" s="181"/>
      <c r="BG1" s="181"/>
      <c r="BH1" s="181"/>
      <c r="BI1" s="181"/>
      <c r="BJ1" s="181"/>
      <c r="BK1" s="181"/>
      <c r="BL1" s="181"/>
      <c r="BM1" s="181"/>
      <c r="BN1" s="181"/>
      <c r="BO1" s="181"/>
      <c r="BP1" s="181"/>
      <c r="BQ1" s="181"/>
      <c r="BR1" s="181"/>
      <c r="BS1" s="181"/>
      <c r="BT1" s="181"/>
      <c r="BU1" s="181"/>
      <c r="BV1" s="181"/>
      <c r="BW1" s="43"/>
      <c r="BX1" s="43"/>
      <c r="BY1" s="91"/>
      <c r="BZ1" s="91"/>
      <c r="CA1" s="91"/>
      <c r="CB1" s="91"/>
    </row>
    <row r="2" spans="1:80" ht="18" customHeight="1" x14ac:dyDescent="0.3">
      <c r="A2" s="181" t="s">
        <v>98</v>
      </c>
      <c r="B2" s="181"/>
      <c r="C2" s="181"/>
      <c r="D2" s="181"/>
      <c r="E2" s="181"/>
      <c r="F2" s="181"/>
      <c r="G2" s="181"/>
      <c r="H2" s="181"/>
      <c r="I2" s="181"/>
      <c r="J2" s="181"/>
      <c r="K2" s="181"/>
      <c r="L2" s="181"/>
      <c r="M2" s="181"/>
      <c r="N2" s="181"/>
      <c r="O2" s="181"/>
      <c r="P2" s="181"/>
      <c r="Q2" s="181"/>
      <c r="R2" s="181"/>
      <c r="S2" s="181"/>
      <c r="T2" s="181"/>
      <c r="U2" s="181"/>
      <c r="V2" s="181"/>
      <c r="W2" s="181"/>
      <c r="X2" s="181"/>
      <c r="Y2" s="181"/>
      <c r="Z2" s="181"/>
      <c r="AA2" s="181"/>
      <c r="AB2" s="181"/>
      <c r="AC2" s="181"/>
      <c r="AD2" s="181"/>
      <c r="AE2" s="181"/>
      <c r="AF2" s="181"/>
      <c r="AG2" s="181"/>
      <c r="AH2" s="181"/>
      <c r="AI2" s="181"/>
      <c r="AJ2" s="181"/>
      <c r="AK2" s="181"/>
      <c r="AL2" s="181"/>
      <c r="AM2" s="181"/>
      <c r="AN2" s="181"/>
      <c r="AO2" s="181"/>
      <c r="AP2" s="181"/>
      <c r="AQ2" s="181"/>
      <c r="AR2" s="181"/>
      <c r="AS2" s="181"/>
      <c r="AT2" s="181"/>
      <c r="AU2" s="181"/>
      <c r="AV2" s="181"/>
      <c r="AW2" s="181"/>
      <c r="AX2" s="181"/>
      <c r="AY2" s="181"/>
      <c r="AZ2" s="181"/>
      <c r="BA2" s="181"/>
      <c r="BB2" s="181"/>
      <c r="BC2" s="181"/>
      <c r="BD2" s="181"/>
      <c r="BE2" s="181"/>
      <c r="BF2" s="181"/>
      <c r="BG2" s="181"/>
      <c r="BH2" s="181"/>
      <c r="BI2" s="181"/>
      <c r="BJ2" s="181"/>
      <c r="BK2" s="181"/>
      <c r="BL2" s="181"/>
      <c r="BM2" s="181"/>
      <c r="BN2" s="181"/>
      <c r="BO2" s="181"/>
      <c r="BP2" s="181"/>
      <c r="BQ2" s="181"/>
      <c r="BR2" s="181"/>
      <c r="BS2" s="181"/>
      <c r="BT2" s="181"/>
      <c r="BU2" s="181"/>
      <c r="BV2" s="181"/>
      <c r="BW2" s="43"/>
      <c r="BX2" s="43"/>
    </row>
    <row r="3" spans="1:80" ht="18.75" customHeight="1" x14ac:dyDescent="0.3">
      <c r="A3" s="182" t="s">
        <v>100</v>
      </c>
      <c r="B3" s="182"/>
      <c r="C3" s="182"/>
      <c r="D3" s="182"/>
      <c r="E3" s="182"/>
      <c r="F3" s="182"/>
      <c r="G3" s="182"/>
      <c r="H3" s="182"/>
      <c r="I3" s="182"/>
      <c r="J3" s="182"/>
      <c r="K3" s="182"/>
      <c r="L3" s="182"/>
      <c r="M3" s="182"/>
      <c r="N3" s="182"/>
      <c r="O3" s="182"/>
      <c r="P3" s="182"/>
      <c r="Q3" s="182"/>
      <c r="R3" s="182"/>
      <c r="S3" s="182"/>
      <c r="T3" s="182"/>
      <c r="U3" s="182"/>
      <c r="V3" s="182"/>
      <c r="W3" s="182"/>
      <c r="X3" s="182"/>
      <c r="Y3" s="182"/>
      <c r="Z3" s="182"/>
      <c r="AA3" s="182"/>
      <c r="AB3" s="182"/>
      <c r="AC3" s="182"/>
      <c r="AD3" s="182"/>
      <c r="AE3" s="182"/>
      <c r="AF3" s="182"/>
      <c r="AG3" s="182"/>
      <c r="AH3" s="182"/>
      <c r="AI3" s="182"/>
      <c r="AJ3" s="182"/>
      <c r="AK3" s="182"/>
      <c r="AL3" s="182"/>
      <c r="AM3" s="182"/>
      <c r="AN3" s="182"/>
      <c r="AO3" s="182"/>
      <c r="AP3" s="182"/>
      <c r="AQ3" s="182"/>
      <c r="AR3" s="182"/>
      <c r="AS3" s="182"/>
      <c r="AT3" s="182"/>
      <c r="AU3" s="182"/>
      <c r="AV3" s="182"/>
      <c r="AW3" s="182"/>
      <c r="AX3" s="182"/>
      <c r="AY3" s="182"/>
      <c r="AZ3" s="182"/>
      <c r="BA3" s="182"/>
      <c r="BB3" s="182"/>
      <c r="BC3" s="182"/>
      <c r="BD3" s="182"/>
      <c r="BE3" s="182"/>
      <c r="BF3" s="182"/>
      <c r="BG3" s="182"/>
      <c r="BH3" s="182"/>
      <c r="BI3" s="182"/>
      <c r="BJ3" s="182"/>
      <c r="BK3" s="182"/>
      <c r="BL3" s="182"/>
      <c r="BM3" s="182"/>
      <c r="BN3" s="182"/>
      <c r="BO3" s="182"/>
      <c r="BP3" s="182"/>
      <c r="BQ3" s="182"/>
      <c r="BR3" s="182"/>
      <c r="BS3" s="182"/>
      <c r="BT3" s="182"/>
      <c r="BU3" s="182"/>
      <c r="BV3" s="182"/>
      <c r="BW3" s="43"/>
      <c r="BX3" s="43"/>
    </row>
    <row r="4" spans="1:80" x14ac:dyDescent="0.3">
      <c r="A4" s="182" t="s">
        <v>99</v>
      </c>
      <c r="B4" s="182"/>
      <c r="C4" s="182"/>
      <c r="D4" s="182"/>
      <c r="E4" s="182"/>
      <c r="F4" s="182"/>
      <c r="G4" s="182"/>
      <c r="H4" s="182"/>
      <c r="I4" s="182"/>
      <c r="J4" s="182"/>
      <c r="K4" s="182"/>
      <c r="L4" s="182"/>
      <c r="M4" s="182"/>
      <c r="N4" s="182"/>
      <c r="O4" s="182"/>
      <c r="P4" s="182"/>
      <c r="Q4" s="182"/>
      <c r="R4" s="182"/>
      <c r="S4" s="182"/>
      <c r="T4" s="182"/>
      <c r="U4" s="182"/>
      <c r="V4" s="182"/>
      <c r="W4" s="182"/>
      <c r="X4" s="182"/>
      <c r="Y4" s="182"/>
      <c r="Z4" s="182"/>
      <c r="AA4" s="182"/>
      <c r="AB4" s="182"/>
      <c r="AC4" s="182"/>
      <c r="AD4" s="182"/>
      <c r="AE4" s="182"/>
      <c r="AF4" s="182"/>
      <c r="AG4" s="182"/>
      <c r="AH4" s="182"/>
      <c r="AI4" s="182"/>
      <c r="AJ4" s="182"/>
      <c r="AK4" s="182"/>
      <c r="AL4" s="182"/>
      <c r="AM4" s="182"/>
      <c r="AN4" s="182"/>
      <c r="AO4" s="182"/>
      <c r="AP4" s="182"/>
      <c r="AQ4" s="182"/>
      <c r="AR4" s="182"/>
      <c r="AS4" s="182"/>
      <c r="AT4" s="182"/>
      <c r="AU4" s="182"/>
      <c r="AV4" s="182"/>
      <c r="AW4" s="182"/>
      <c r="AX4" s="182"/>
      <c r="AY4" s="182"/>
      <c r="AZ4" s="182"/>
      <c r="BA4" s="182"/>
      <c r="BB4" s="182"/>
      <c r="BC4" s="182"/>
      <c r="BD4" s="182"/>
      <c r="BE4" s="182"/>
      <c r="BF4" s="182"/>
      <c r="BG4" s="182"/>
      <c r="BH4" s="182"/>
      <c r="BI4" s="182"/>
      <c r="BJ4" s="182"/>
      <c r="BK4" s="182"/>
      <c r="BL4" s="182"/>
      <c r="BM4" s="182"/>
      <c r="BN4" s="182"/>
      <c r="BO4" s="182"/>
      <c r="BP4" s="182"/>
      <c r="BQ4" s="182"/>
      <c r="BR4" s="182"/>
      <c r="BS4" s="182"/>
      <c r="BT4" s="182"/>
      <c r="BU4" s="182"/>
      <c r="BV4" s="182"/>
      <c r="BW4" s="43"/>
      <c r="BX4" s="43"/>
    </row>
    <row r="5" spans="1:80" ht="27" customHeight="1" x14ac:dyDescent="0.35">
      <c r="A5" s="180" t="str">
        <f>CONCATENATE("ПРОТОКОЛ №","ЕИ-04/",Данные!B9,"-",Данные!B2)</f>
        <v>ПРОТОКОЛ №ЕИ-04/02-01326</v>
      </c>
      <c r="B5" s="180"/>
      <c r="C5" s="180"/>
      <c r="D5" s="180"/>
      <c r="E5" s="180"/>
      <c r="F5" s="180"/>
      <c r="G5" s="180"/>
      <c r="H5" s="180"/>
      <c r="I5" s="180"/>
      <c r="J5" s="180"/>
      <c r="K5" s="180"/>
      <c r="L5" s="180"/>
      <c r="M5" s="180"/>
      <c r="N5" s="180"/>
      <c r="O5" s="180"/>
      <c r="P5" s="180"/>
      <c r="Q5" s="180"/>
      <c r="R5" s="180"/>
      <c r="S5" s="180"/>
      <c r="T5" s="180"/>
      <c r="U5" s="180"/>
      <c r="V5" s="180"/>
      <c r="W5" s="180"/>
      <c r="X5" s="180"/>
      <c r="Y5" s="180"/>
      <c r="Z5" s="180"/>
      <c r="AA5" s="180"/>
      <c r="AB5" s="180"/>
      <c r="AC5" s="180"/>
      <c r="AD5" s="180"/>
      <c r="AE5" s="180"/>
      <c r="AF5" s="180"/>
      <c r="AG5" s="180"/>
      <c r="AH5" s="180"/>
      <c r="AI5" s="180"/>
      <c r="AJ5" s="180"/>
      <c r="AK5" s="180"/>
      <c r="AL5" s="180"/>
      <c r="AM5" s="180"/>
      <c r="AN5" s="180"/>
      <c r="AO5" s="180"/>
      <c r="AP5" s="180"/>
      <c r="AQ5" s="180"/>
      <c r="AR5" s="180"/>
      <c r="AS5" s="180"/>
      <c r="AT5" s="180"/>
      <c r="AU5" s="180"/>
      <c r="AV5" s="180"/>
      <c r="AW5" s="180"/>
      <c r="AX5" s="180"/>
      <c r="AY5" s="180"/>
      <c r="AZ5" s="180"/>
      <c r="BA5" s="180"/>
      <c r="BB5" s="180"/>
      <c r="BC5" s="180"/>
      <c r="BD5" s="180"/>
      <c r="BE5" s="180"/>
      <c r="BF5" s="180"/>
      <c r="BG5" s="180"/>
      <c r="BH5" s="180"/>
      <c r="BI5" s="180"/>
      <c r="BJ5" s="180"/>
      <c r="BK5" s="180"/>
      <c r="BL5" s="180"/>
      <c r="BM5" s="180"/>
      <c r="BN5" s="180"/>
      <c r="BO5" s="180"/>
      <c r="BP5" s="180"/>
      <c r="BQ5" s="180"/>
      <c r="BR5" s="180"/>
      <c r="BS5" s="180"/>
      <c r="BT5" s="180"/>
      <c r="BU5" s="180"/>
      <c r="BV5" s="180"/>
      <c r="BW5" s="43"/>
      <c r="BX5" s="43"/>
    </row>
    <row r="6" spans="1:80" ht="15.75" customHeight="1" x14ac:dyDescent="0.3">
      <c r="A6" s="138" t="str">
        <f>CONCATENATE("периодической поверки СИ - счетчик воды ",INDEX(Данные!$K$54:$W$99,Данные!K52,13),", год изготовления ",Данные!B3,", заводской № ",Данные!B4)</f>
        <v>периодической поверки СИ - счетчик воды СГВ-15, год изготовления 2013, заводской № 30447462</v>
      </c>
      <c r="B6" s="139"/>
      <c r="C6" s="139"/>
      <c r="D6" s="139"/>
      <c r="E6" s="139"/>
      <c r="F6" s="139"/>
      <c r="G6" s="139"/>
      <c r="H6" s="139"/>
      <c r="I6" s="139"/>
      <c r="J6" s="139"/>
      <c r="K6" s="139"/>
      <c r="L6" s="139"/>
      <c r="M6" s="139"/>
      <c r="N6" s="139"/>
      <c r="O6" s="139"/>
      <c r="P6" s="139"/>
      <c r="Q6" s="139"/>
      <c r="R6" s="139"/>
      <c r="S6" s="139"/>
      <c r="T6" s="139"/>
      <c r="U6" s="139"/>
      <c r="V6" s="139"/>
      <c r="W6" s="139"/>
      <c r="X6" s="139"/>
      <c r="Y6" s="139"/>
      <c r="Z6" s="139"/>
      <c r="AA6" s="139"/>
      <c r="AB6" s="139"/>
      <c r="AC6" s="139"/>
      <c r="AD6" s="139"/>
      <c r="AE6" s="139"/>
      <c r="AF6" s="139"/>
      <c r="AG6" s="139"/>
      <c r="AH6" s="139"/>
      <c r="AI6" s="139"/>
      <c r="AJ6" s="139"/>
      <c r="AK6" s="139"/>
      <c r="AL6" s="139"/>
      <c r="AM6" s="139"/>
      <c r="AN6" s="139"/>
      <c r="AO6" s="139"/>
      <c r="AP6" s="139"/>
      <c r="AQ6" s="139"/>
      <c r="AR6" s="139"/>
      <c r="AS6" s="139"/>
      <c r="AT6" s="139"/>
      <c r="AU6" s="139"/>
      <c r="AV6" s="139"/>
      <c r="AW6" s="139"/>
      <c r="AX6" s="139"/>
      <c r="AY6" s="139"/>
      <c r="AZ6" s="139"/>
      <c r="BA6" s="139"/>
      <c r="BB6" s="139"/>
      <c r="BC6" s="139"/>
      <c r="BD6" s="139"/>
      <c r="BE6" s="139"/>
      <c r="BF6" s="139"/>
      <c r="BG6" s="139"/>
      <c r="BH6" s="139"/>
      <c r="BI6" s="139"/>
      <c r="BJ6" s="139"/>
      <c r="BK6" s="139"/>
      <c r="BL6" s="139"/>
      <c r="BM6" s="139"/>
      <c r="BN6" s="139"/>
      <c r="BO6" s="139"/>
      <c r="BP6" s="139"/>
      <c r="BQ6" s="139"/>
      <c r="BR6" s="139"/>
      <c r="BS6" s="139"/>
      <c r="BT6" s="139"/>
      <c r="BU6" s="139"/>
      <c r="BV6" s="139"/>
      <c r="BW6" s="139"/>
      <c r="BX6" s="43"/>
    </row>
    <row r="7" spans="1:80" s="60" customFormat="1" ht="15.75" customHeight="1" x14ac:dyDescent="0.3">
      <c r="A7" s="139"/>
      <c r="B7" s="139"/>
      <c r="C7" s="139"/>
      <c r="D7" s="139"/>
      <c r="E7" s="139"/>
      <c r="F7" s="139"/>
      <c r="G7" s="139"/>
      <c r="H7" s="139"/>
      <c r="I7" s="139"/>
      <c r="J7" s="139"/>
      <c r="K7" s="139"/>
      <c r="L7" s="139"/>
      <c r="M7" s="139"/>
      <c r="N7" s="139"/>
      <c r="O7" s="139"/>
      <c r="P7" s="139"/>
      <c r="Q7" s="139"/>
      <c r="R7" s="139"/>
      <c r="S7" s="139"/>
      <c r="T7" s="139"/>
      <c r="U7" s="139"/>
      <c r="V7" s="139"/>
      <c r="W7" s="139"/>
      <c r="X7" s="139"/>
      <c r="Y7" s="139"/>
      <c r="Z7" s="139"/>
      <c r="AA7" s="139"/>
      <c r="AB7" s="139"/>
      <c r="AC7" s="139"/>
      <c r="AD7" s="139"/>
      <c r="AE7" s="139"/>
      <c r="AF7" s="139"/>
      <c r="AG7" s="139"/>
      <c r="AH7" s="139"/>
      <c r="AI7" s="139"/>
      <c r="AJ7" s="139"/>
      <c r="AK7" s="139"/>
      <c r="AL7" s="139"/>
      <c r="AM7" s="139"/>
      <c r="AN7" s="139"/>
      <c r="AO7" s="139"/>
      <c r="AP7" s="139"/>
      <c r="AQ7" s="139"/>
      <c r="AR7" s="139"/>
      <c r="AS7" s="139"/>
      <c r="AT7" s="139"/>
      <c r="AU7" s="139"/>
      <c r="AV7" s="139"/>
      <c r="AW7" s="139"/>
      <c r="AX7" s="139"/>
      <c r="AY7" s="139"/>
      <c r="AZ7" s="139"/>
      <c r="BA7" s="139"/>
      <c r="BB7" s="139"/>
      <c r="BC7" s="139"/>
      <c r="BD7" s="139"/>
      <c r="BE7" s="139"/>
      <c r="BF7" s="139"/>
      <c r="BG7" s="139"/>
      <c r="BH7" s="139"/>
      <c r="BI7" s="139"/>
      <c r="BJ7" s="139"/>
      <c r="BK7" s="139"/>
      <c r="BL7" s="139"/>
      <c r="BM7" s="139"/>
      <c r="BN7" s="139"/>
      <c r="BO7" s="139"/>
      <c r="BP7" s="139"/>
      <c r="BQ7" s="139"/>
      <c r="BR7" s="139"/>
      <c r="BS7" s="139"/>
      <c r="BT7" s="139"/>
      <c r="BU7" s="139"/>
      <c r="BV7" s="139"/>
      <c r="BW7" s="139"/>
      <c r="BX7" s="43"/>
    </row>
    <row r="8" spans="1:80" ht="21" customHeight="1" x14ac:dyDescent="0.3">
      <c r="A8" s="41" t="str">
        <f>CONCATENATE("Регистрационный номер средства измерений в ФИФ ОЕИ: ",INDEX(Данные!$K$54:$W$99,Данные!K52,12))</f>
        <v>Регистрационный номер средства измерений в ФИФ ОЕИ: 16078-13</v>
      </c>
      <c r="B8" s="41"/>
      <c r="C8" s="41"/>
      <c r="D8" s="41"/>
      <c r="E8" s="41"/>
      <c r="F8" s="41"/>
      <c r="G8" s="41"/>
      <c r="H8" s="41"/>
      <c r="I8" s="41"/>
      <c r="J8" s="41"/>
      <c r="K8" s="41"/>
      <c r="L8" s="41"/>
      <c r="M8" s="42"/>
      <c r="N8" s="42"/>
      <c r="O8" s="42"/>
      <c r="P8" s="42"/>
      <c r="Q8" s="42"/>
      <c r="R8" s="42"/>
      <c r="S8" s="42"/>
      <c r="T8" s="42"/>
      <c r="U8" s="42"/>
      <c r="V8" s="42"/>
      <c r="W8" s="42"/>
      <c r="X8" s="35"/>
      <c r="Y8" s="35"/>
      <c r="Z8" s="35"/>
      <c r="AA8" s="35"/>
      <c r="AB8" s="35"/>
      <c r="AC8" s="35"/>
      <c r="AD8" s="35"/>
      <c r="AE8" s="35"/>
      <c r="AF8" s="35"/>
      <c r="AG8" s="35"/>
      <c r="AH8" s="35"/>
      <c r="AI8" s="35"/>
      <c r="AJ8" s="35"/>
      <c r="AK8" s="35"/>
      <c r="AL8" s="35"/>
      <c r="AM8" s="35"/>
      <c r="AN8" s="35"/>
      <c r="AO8" s="35"/>
      <c r="AP8" s="35"/>
      <c r="AQ8" s="35"/>
      <c r="AR8" s="35"/>
      <c r="AS8" s="35"/>
      <c r="AT8" s="35"/>
      <c r="AU8" s="35"/>
      <c r="AV8" s="35"/>
      <c r="AW8" s="35"/>
      <c r="AX8" s="35"/>
      <c r="AY8" s="35"/>
      <c r="AZ8" s="35"/>
      <c r="BA8" s="35"/>
      <c r="BB8" s="35"/>
      <c r="BC8" s="35"/>
      <c r="BD8" s="35"/>
      <c r="BE8" s="35"/>
      <c r="BF8" s="35"/>
      <c r="BG8" s="35"/>
      <c r="BH8" s="35"/>
      <c r="BI8" s="35"/>
      <c r="BJ8" s="35"/>
      <c r="BK8" s="35"/>
      <c r="BL8" s="35"/>
      <c r="BM8" s="35"/>
      <c r="BN8" s="35"/>
      <c r="BO8" s="35"/>
      <c r="BP8" s="35"/>
      <c r="BQ8" s="5"/>
      <c r="BR8" s="41"/>
      <c r="BS8" s="43"/>
      <c r="BT8" s="43"/>
      <c r="BU8" s="43"/>
      <c r="BV8" s="43"/>
      <c r="BW8" s="43"/>
      <c r="BX8" s="43"/>
    </row>
    <row r="9" spans="1:80" ht="15.6" x14ac:dyDescent="0.3">
      <c r="A9" s="5" t="str">
        <f>CONCATENATE("Принадлежащего: ",Данные!B7)</f>
        <v>Принадлежащего: Частное лицо</v>
      </c>
      <c r="B9" s="5"/>
      <c r="C9" s="5"/>
      <c r="D9" s="5"/>
      <c r="E9" s="5"/>
      <c r="F9" s="5"/>
      <c r="G9" s="5"/>
      <c r="H9" s="5"/>
      <c r="I9" s="5"/>
      <c r="J9" s="41"/>
      <c r="K9" s="41"/>
      <c r="L9" s="41"/>
      <c r="M9" s="40"/>
      <c r="N9" s="42"/>
      <c r="O9" s="35"/>
      <c r="P9" s="35"/>
      <c r="Q9" s="35"/>
      <c r="R9" s="35"/>
      <c r="S9" s="35"/>
      <c r="T9" s="35"/>
      <c r="U9" s="35"/>
      <c r="V9" s="35"/>
      <c r="W9" s="35"/>
      <c r="X9" s="35"/>
      <c r="Y9" s="42"/>
      <c r="Z9" s="42"/>
      <c r="AA9" s="42"/>
      <c r="AB9" s="42"/>
      <c r="AC9" s="42"/>
      <c r="AD9" s="42"/>
      <c r="AE9" s="42"/>
      <c r="AF9" s="42"/>
      <c r="AG9" s="42"/>
      <c r="AH9" s="42"/>
      <c r="AI9" s="35"/>
      <c r="AJ9" s="35"/>
      <c r="AK9" s="35"/>
      <c r="AL9" s="35"/>
      <c r="AM9" s="35"/>
      <c r="AN9" s="35"/>
      <c r="AO9" s="35"/>
      <c r="AP9" s="35"/>
      <c r="AQ9" s="35"/>
      <c r="AR9" s="35"/>
      <c r="AS9" s="35"/>
      <c r="AT9" s="35"/>
      <c r="AU9" s="35"/>
      <c r="AV9" s="35"/>
      <c r="AW9" s="35"/>
      <c r="AX9" s="35"/>
      <c r="AY9" s="35"/>
      <c r="AZ9" s="35"/>
      <c r="BA9" s="35"/>
      <c r="BB9" s="35"/>
      <c r="BC9" s="35"/>
      <c r="BD9" s="35"/>
      <c r="BE9" s="35"/>
      <c r="BF9" s="35"/>
      <c r="BG9" s="35"/>
      <c r="BH9" s="35"/>
      <c r="BI9" s="35"/>
      <c r="BJ9" s="35"/>
      <c r="BK9" s="35"/>
      <c r="BL9" s="35"/>
      <c r="BM9" s="35"/>
      <c r="BN9" s="35"/>
      <c r="BO9" s="35"/>
      <c r="BP9" s="35"/>
      <c r="BQ9" s="35"/>
      <c r="BR9" s="41"/>
      <c r="BS9" s="43"/>
      <c r="BT9" s="43"/>
      <c r="BU9" s="43"/>
      <c r="BV9" s="43"/>
      <c r="BW9" s="43"/>
      <c r="BX9" s="43"/>
    </row>
    <row r="10" spans="1:80" ht="15.6" x14ac:dyDescent="0.3">
      <c r="A10" s="36" t="str">
        <f>CONCATENATE("Место поверки: ",Данные!B8 )</f>
        <v>Место поверки: Яранский район, с.Рождественское, ул.Новая 5</v>
      </c>
      <c r="B10" s="41"/>
      <c r="C10" s="41"/>
      <c r="D10" s="41"/>
      <c r="E10" s="41"/>
      <c r="F10" s="41"/>
      <c r="G10" s="41"/>
      <c r="H10" s="41"/>
      <c r="I10" s="41"/>
      <c r="J10" s="41"/>
      <c r="K10" s="41"/>
      <c r="L10" s="41"/>
      <c r="M10" s="42"/>
      <c r="N10" s="42"/>
      <c r="O10" s="42"/>
      <c r="P10" s="42"/>
      <c r="Q10" s="42"/>
      <c r="R10" s="42"/>
      <c r="S10" s="42"/>
      <c r="T10" s="42"/>
      <c r="U10" s="42"/>
      <c r="V10" s="42"/>
      <c r="W10" s="42"/>
      <c r="X10" s="35"/>
      <c r="Y10" s="35"/>
      <c r="Z10" s="35"/>
      <c r="AA10" s="35"/>
      <c r="AB10" s="35"/>
      <c r="AC10" s="35"/>
      <c r="AD10" s="35"/>
      <c r="AE10" s="35"/>
      <c r="AF10" s="35"/>
      <c r="AG10" s="35"/>
      <c r="AH10" s="35"/>
      <c r="AI10" s="35"/>
      <c r="AJ10" s="35"/>
      <c r="AK10" s="35"/>
      <c r="AL10" s="35"/>
      <c r="AM10" s="35"/>
      <c r="AN10" s="35"/>
      <c r="AO10" s="35"/>
      <c r="AP10" s="42"/>
      <c r="AQ10" s="40"/>
      <c r="AR10" s="35"/>
      <c r="AS10" s="35"/>
      <c r="AT10" s="35"/>
      <c r="AU10" s="35"/>
      <c r="AV10" s="35"/>
      <c r="AW10" s="35"/>
      <c r="AX10" s="35"/>
      <c r="AY10" s="35"/>
      <c r="AZ10" s="35"/>
      <c r="BA10" s="35"/>
      <c r="BB10" s="35"/>
      <c r="BC10" s="35"/>
      <c r="BD10" s="35"/>
      <c r="BE10" s="35"/>
      <c r="BF10" s="35"/>
      <c r="BG10" s="35"/>
      <c r="BH10" s="35"/>
      <c r="BI10" s="35"/>
      <c r="BJ10" s="35"/>
      <c r="BK10" s="35"/>
      <c r="BL10" s="35"/>
      <c r="BM10" s="35"/>
      <c r="BN10" s="35"/>
      <c r="BO10" s="35"/>
      <c r="BP10" s="35"/>
      <c r="BQ10" s="35"/>
      <c r="BR10" s="41"/>
      <c r="BS10" s="43"/>
      <c r="BT10" s="43"/>
      <c r="BU10" s="43"/>
      <c r="BV10" s="43"/>
      <c r="BW10" s="43"/>
      <c r="BX10" s="43"/>
    </row>
    <row r="11" spans="1:80" x14ac:dyDescent="0.3">
      <c r="A11" s="43"/>
      <c r="B11" s="43"/>
      <c r="C11" s="43"/>
      <c r="D11" s="43"/>
      <c r="E11" s="43"/>
      <c r="F11" s="43"/>
      <c r="G11" s="43"/>
      <c r="H11" s="43"/>
      <c r="I11" s="43"/>
      <c r="J11" s="43"/>
      <c r="K11" s="43"/>
      <c r="L11" s="43"/>
      <c r="M11" s="43"/>
      <c r="N11" s="43"/>
      <c r="O11" s="43"/>
      <c r="P11" s="43"/>
      <c r="Q11" s="43"/>
      <c r="R11" s="43"/>
      <c r="S11" s="43"/>
      <c r="T11" s="43"/>
      <c r="U11" s="43"/>
      <c r="V11" s="43"/>
      <c r="W11" s="43"/>
      <c r="X11" s="43"/>
      <c r="Y11" s="43"/>
      <c r="Z11" s="43"/>
      <c r="AA11" s="43"/>
      <c r="AB11" s="43"/>
      <c r="AC11" s="43"/>
      <c r="AD11" s="43"/>
      <c r="AE11" s="43"/>
      <c r="AF11" s="43"/>
      <c r="AG11" s="43"/>
      <c r="AH11" s="43"/>
      <c r="AI11" s="43"/>
      <c r="AJ11" s="43"/>
      <c r="AK11" s="43"/>
      <c r="AL11" s="43"/>
      <c r="AM11" s="43"/>
      <c r="AN11" s="43"/>
      <c r="AO11" s="43"/>
      <c r="AP11" s="43"/>
      <c r="AQ11" s="43"/>
      <c r="AR11" s="43"/>
      <c r="AS11" s="43"/>
      <c r="AT11" s="43"/>
      <c r="AU11" s="43"/>
      <c r="AV11" s="43"/>
      <c r="AW11" s="43"/>
      <c r="AX11" s="43"/>
      <c r="AY11" s="43"/>
      <c r="AZ11" s="43"/>
      <c r="BA11" s="43"/>
      <c r="BB11" s="43"/>
      <c r="BC11" s="43"/>
      <c r="BD11" s="43"/>
      <c r="BE11" s="43"/>
      <c r="BF11" s="43"/>
      <c r="BG11" s="43"/>
      <c r="BH11" s="43"/>
      <c r="BI11" s="43"/>
      <c r="BJ11" s="43"/>
      <c r="BK11" s="43"/>
      <c r="BL11" s="43"/>
      <c r="BM11" s="43"/>
      <c r="BN11" s="43"/>
      <c r="BO11" s="43"/>
      <c r="BP11" s="43"/>
      <c r="BQ11" s="43"/>
      <c r="BR11" s="43"/>
      <c r="BS11" s="43"/>
      <c r="BT11" s="43"/>
      <c r="BU11" s="43"/>
      <c r="BV11" s="43"/>
      <c r="BW11" s="43"/>
      <c r="BX11" s="43"/>
    </row>
    <row r="12" spans="1:80" ht="21" customHeight="1" x14ac:dyDescent="0.3">
      <c r="A12" s="124" t="s">
        <v>28</v>
      </c>
      <c r="B12" s="124"/>
      <c r="C12" s="124"/>
      <c r="D12" s="124"/>
      <c r="E12" s="124"/>
      <c r="F12" s="124"/>
      <c r="G12" s="124"/>
      <c r="H12" s="124"/>
      <c r="I12" s="124"/>
      <c r="J12" s="124"/>
      <c r="K12" s="124"/>
      <c r="L12" s="124"/>
      <c r="M12" s="124"/>
      <c r="N12" s="124"/>
      <c r="O12" s="124"/>
      <c r="P12" s="124"/>
      <c r="Q12" s="124"/>
      <c r="R12" s="124"/>
      <c r="S12" s="124"/>
      <c r="T12" s="124"/>
      <c r="U12" s="124"/>
      <c r="V12" s="124"/>
      <c r="W12" s="124"/>
      <c r="X12" s="124"/>
      <c r="Y12" s="124"/>
      <c r="Z12" s="124"/>
      <c r="AA12" s="124"/>
      <c r="AB12" s="124"/>
      <c r="AC12" s="124"/>
      <c r="AD12" s="124"/>
      <c r="AE12" s="124"/>
      <c r="AF12" s="124"/>
      <c r="AG12" s="124"/>
      <c r="AH12" s="124"/>
      <c r="AI12" s="124"/>
      <c r="AJ12" s="124"/>
      <c r="AK12" s="124"/>
      <c r="AL12" s="124"/>
      <c r="AM12" s="124"/>
      <c r="AN12" s="124"/>
      <c r="AO12" s="124"/>
      <c r="AP12" s="124"/>
      <c r="AQ12" s="124"/>
      <c r="AR12" s="124"/>
      <c r="AS12" s="124"/>
      <c r="AT12" s="124"/>
      <c r="AU12" s="124"/>
      <c r="AV12" s="124"/>
      <c r="AW12" s="124"/>
      <c r="AX12" s="124"/>
      <c r="AY12" s="124"/>
      <c r="AZ12" s="124"/>
      <c r="BA12" s="124"/>
      <c r="BB12" s="124"/>
      <c r="BC12" s="124"/>
      <c r="BD12" s="124"/>
      <c r="BE12" s="124"/>
      <c r="BF12" s="124"/>
      <c r="BG12" s="124"/>
      <c r="BH12" s="124"/>
      <c r="BI12" s="124"/>
      <c r="BJ12" s="124"/>
      <c r="BK12" s="124"/>
      <c r="BL12" s="124"/>
      <c r="BM12" s="124"/>
      <c r="BN12" s="124"/>
      <c r="BO12" s="124"/>
      <c r="BP12" s="124"/>
      <c r="BQ12" s="124"/>
      <c r="BR12" s="124"/>
      <c r="BS12" s="124"/>
      <c r="BT12" s="124"/>
      <c r="BU12" s="124"/>
      <c r="BV12" s="124"/>
      <c r="BW12" s="124"/>
      <c r="BX12" s="124"/>
    </row>
    <row r="13" spans="1:80" ht="18.75" customHeight="1" x14ac:dyDescent="0.3">
      <c r="A13" s="5" t="s">
        <v>1</v>
      </c>
      <c r="B13" s="5"/>
      <c r="C13" s="43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A13" s="5"/>
      <c r="AB13" s="5"/>
      <c r="AC13" s="5"/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5"/>
      <c r="AO13" s="5"/>
      <c r="AP13" s="43"/>
      <c r="AQ13" s="43"/>
      <c r="AR13" s="43"/>
      <c r="AS13" s="43"/>
      <c r="AT13" s="43"/>
      <c r="AU13" s="43"/>
      <c r="AV13" s="43"/>
      <c r="AW13" s="43"/>
      <c r="AX13" s="43"/>
      <c r="AY13" s="43"/>
      <c r="AZ13" s="43"/>
      <c r="BA13" s="43"/>
      <c r="BB13" s="43"/>
      <c r="BC13" s="43"/>
      <c r="BD13" s="43"/>
      <c r="BE13" s="43"/>
      <c r="BF13" s="43"/>
      <c r="BG13" s="43"/>
      <c r="BH13" s="43"/>
      <c r="BI13" s="43"/>
      <c r="BJ13" s="43"/>
      <c r="BK13" s="43"/>
      <c r="BL13" s="43"/>
      <c r="BM13" s="43"/>
      <c r="BN13" s="43"/>
      <c r="BO13" s="43"/>
      <c r="BP13" s="43"/>
      <c r="BQ13" s="5"/>
      <c r="BR13" s="41"/>
      <c r="BS13" s="43"/>
      <c r="BT13" s="43"/>
      <c r="BU13" s="43"/>
      <c r="BV13" s="43"/>
      <c r="BW13" s="43"/>
      <c r="BX13" s="43"/>
    </row>
    <row r="14" spans="1:80" ht="23.25" customHeight="1" x14ac:dyDescent="0.3">
      <c r="A14" s="41" t="str">
        <f>CONCATENATE("от ",INDEX(Данные!$K$54:$W$99,Данные!K52,3)*2," м3/ч до ",INDEX(Данные!$K$54:$W$99,Данные!K52,7)," м3/ч  (класс А)")</f>
        <v>от 0,06 м3/ч до 3 м3/ч  (класс А)</v>
      </c>
      <c r="B14" s="41"/>
      <c r="C14" s="5"/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41"/>
      <c r="R14" s="41"/>
      <c r="S14" s="5"/>
      <c r="T14" s="5"/>
      <c r="U14" s="5"/>
      <c r="V14" s="5"/>
      <c r="W14" s="5"/>
      <c r="X14" s="5"/>
      <c r="Y14" s="5"/>
      <c r="Z14" s="5"/>
      <c r="AA14" s="5"/>
      <c r="AB14" s="5"/>
      <c r="AC14" s="5"/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5"/>
      <c r="AO14" s="5"/>
      <c r="AP14" s="5"/>
      <c r="AQ14" s="41"/>
      <c r="AR14" s="5"/>
      <c r="AS14" s="5"/>
      <c r="AT14" s="5"/>
      <c r="AU14" s="5"/>
      <c r="AV14" s="5"/>
      <c r="AW14" s="5"/>
      <c r="AX14" s="5"/>
      <c r="AY14" s="5"/>
      <c r="AZ14" s="5"/>
      <c r="BA14" s="5"/>
      <c r="BB14" s="5"/>
      <c r="BC14" s="5"/>
      <c r="BD14" s="5"/>
      <c r="BE14" s="5"/>
      <c r="BF14" s="5"/>
      <c r="BG14" s="5"/>
      <c r="BH14" s="41"/>
      <c r="BI14" s="5"/>
      <c r="BJ14" s="5"/>
      <c r="BK14" s="5"/>
      <c r="BL14" s="5"/>
      <c r="BM14" s="5"/>
      <c r="BN14" s="5"/>
      <c r="BO14" s="5"/>
      <c r="BP14" s="43"/>
      <c r="BQ14" s="5"/>
      <c r="BR14" s="41"/>
      <c r="BS14" s="43"/>
      <c r="BT14" s="43"/>
      <c r="BU14" s="43"/>
      <c r="BV14" s="43"/>
      <c r="BW14" s="43"/>
      <c r="BX14" s="43"/>
    </row>
    <row r="15" spans="1:80" ht="18.75" customHeight="1" x14ac:dyDescent="0.3">
      <c r="A15" s="41" t="str">
        <f>CONCATENATE("от ",INDEX(Данные!$K$54:$W$99,Данные!K52,3)," м3/ч до ",INDEX(Данные!$K$54:$W$99,Данные!K52,7)," м3/ч  (класс В)")</f>
        <v>от 0,03 м3/ч до 3 м3/ч  (класс В)</v>
      </c>
      <c r="B15" s="5"/>
      <c r="C15" s="5"/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  <c r="AA15" s="5"/>
      <c r="AB15" s="5"/>
      <c r="AC15" s="5"/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5"/>
      <c r="AO15" s="5"/>
      <c r="AP15" s="5"/>
      <c r="AQ15" s="5"/>
      <c r="AR15" s="5"/>
      <c r="AS15" s="5"/>
      <c r="AT15" s="5"/>
      <c r="AU15" s="5"/>
      <c r="AV15" s="5"/>
      <c r="AW15" s="5"/>
      <c r="AX15" s="5"/>
      <c r="AY15" s="5"/>
      <c r="AZ15" s="5"/>
      <c r="BA15" s="5"/>
      <c r="BB15" s="5"/>
      <c r="BC15" s="5"/>
      <c r="BD15" s="39"/>
      <c r="BE15" s="39"/>
      <c r="BF15" s="5"/>
      <c r="BG15" s="5"/>
      <c r="BH15" s="41"/>
      <c r="BI15" s="5"/>
      <c r="BJ15" s="5"/>
      <c r="BK15" s="5"/>
      <c r="BL15" s="5"/>
      <c r="BM15" s="5"/>
      <c r="BN15" s="5"/>
      <c r="BO15" s="5"/>
      <c r="BP15" s="43"/>
      <c r="BQ15" s="5"/>
      <c r="BR15" s="41"/>
      <c r="BS15" s="43"/>
      <c r="BT15" s="43"/>
      <c r="BU15" s="43"/>
      <c r="BV15" s="43"/>
      <c r="BW15" s="43"/>
      <c r="BX15" s="43"/>
    </row>
    <row r="16" spans="1:80" ht="15.6" x14ac:dyDescent="0.3">
      <c r="A16" s="5" t="s">
        <v>2</v>
      </c>
      <c r="B16" s="5"/>
      <c r="C16" s="43"/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B16" s="5"/>
      <c r="AC16" s="5"/>
      <c r="AD16" s="5"/>
      <c r="AE16" s="5"/>
      <c r="AF16" s="5"/>
      <c r="AG16" s="5"/>
      <c r="AH16" s="5"/>
      <c r="AI16" s="5"/>
      <c r="AJ16" s="5"/>
      <c r="AK16" s="5"/>
      <c r="AL16" s="5"/>
      <c r="AM16" s="5"/>
      <c r="AN16" s="5"/>
      <c r="AO16" s="5"/>
      <c r="AP16" s="5"/>
      <c r="AQ16" s="5"/>
      <c r="AR16" s="5"/>
      <c r="AS16" s="5"/>
      <c r="AT16" s="5"/>
      <c r="AU16" s="5"/>
      <c r="AV16" s="5"/>
      <c r="AW16" s="5"/>
      <c r="AX16" s="5"/>
      <c r="AY16" s="5"/>
      <c r="AZ16" s="5"/>
      <c r="BA16" s="5"/>
      <c r="BB16" s="5"/>
      <c r="BC16" s="5"/>
      <c r="BD16" s="5"/>
      <c r="BE16" s="5"/>
      <c r="BF16" s="5"/>
      <c r="BG16" s="5"/>
      <c r="BH16" s="5"/>
      <c r="BI16" s="5"/>
      <c r="BJ16" s="5"/>
      <c r="BK16" s="5"/>
      <c r="BL16" s="5"/>
      <c r="BM16" s="5"/>
      <c r="BN16" s="5"/>
      <c r="BO16" s="5"/>
      <c r="BP16" s="5"/>
      <c r="BQ16" s="5"/>
      <c r="BR16" s="41"/>
      <c r="BS16" s="43"/>
      <c r="BT16" s="43"/>
      <c r="BU16" s="43"/>
      <c r="BV16" s="43"/>
      <c r="BW16" s="43"/>
      <c r="BX16" s="43"/>
    </row>
    <row r="17" spans="1:77" ht="15.6" x14ac:dyDescent="0.3">
      <c r="A17" s="5" t="s">
        <v>29</v>
      </c>
      <c r="B17" s="5"/>
      <c r="C17" s="43"/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/>
      <c r="AG17" s="5"/>
      <c r="AH17" s="5"/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5"/>
      <c r="AW17" s="5"/>
      <c r="AX17" s="5"/>
      <c r="AY17" s="5"/>
      <c r="AZ17" s="5"/>
      <c r="BA17" s="5"/>
      <c r="BB17" s="5"/>
      <c r="BC17" s="5"/>
      <c r="BD17" s="5"/>
      <c r="BE17" s="5"/>
      <c r="BF17" s="5"/>
      <c r="BG17" s="5"/>
      <c r="BH17" s="5"/>
      <c r="BI17" s="5"/>
      <c r="BJ17" s="5"/>
      <c r="BK17" s="5"/>
      <c r="BL17" s="5"/>
      <c r="BM17" s="5"/>
      <c r="BN17" s="5"/>
      <c r="BO17" s="5"/>
      <c r="BP17" s="5"/>
      <c r="BQ17" s="5"/>
      <c r="BR17" s="41"/>
      <c r="BS17" s="43"/>
      <c r="BT17" s="43"/>
      <c r="BU17" s="43"/>
      <c r="BV17" s="43"/>
      <c r="BW17" s="43"/>
      <c r="BX17" s="43"/>
    </row>
    <row r="18" spans="1:77" ht="15.6" x14ac:dyDescent="0.3">
      <c r="A18" s="41" t="str">
        <f>CONCATENATE("от ",INDEX(Данные!$K$54:$W$99,Данные!K52,3)*2," м3/ч до ",INDEX(Данные!$K$54:$W$99,Данные!K52,4)," м3/ч : ± ",INDEX(Данные!$K$54:$W$99,Данные!K52,8)," %")</f>
        <v>от 0,06 м3/ч до 0,15 м3/ч : ± 5 %</v>
      </c>
      <c r="B18" s="5"/>
      <c r="C18" s="41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41"/>
      <c r="T18" s="5"/>
      <c r="U18" s="5"/>
      <c r="V18" s="5"/>
      <c r="W18" s="5"/>
      <c r="X18" s="5"/>
      <c r="Y18" s="5"/>
      <c r="Z18" s="5"/>
      <c r="AA18" s="5"/>
      <c r="AB18" s="5"/>
      <c r="AC18" s="5"/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/>
      <c r="AO18" s="5"/>
      <c r="AP18" s="5"/>
      <c r="AQ18" s="5"/>
      <c r="AR18" s="5"/>
      <c r="AS18" s="5"/>
      <c r="AT18" s="5"/>
      <c r="AU18" s="5"/>
      <c r="AV18" s="5"/>
      <c r="AW18" s="5"/>
      <c r="AX18" s="5"/>
      <c r="AY18" s="5"/>
      <c r="AZ18" s="5"/>
      <c r="BA18" s="5"/>
      <c r="BB18" s="5"/>
      <c r="BC18" s="34"/>
      <c r="BD18" s="5"/>
      <c r="BE18" s="5"/>
      <c r="BF18" s="5"/>
      <c r="BG18" s="5"/>
      <c r="BH18" s="5"/>
      <c r="BI18" s="5"/>
      <c r="BJ18" s="5"/>
      <c r="BK18" s="5"/>
      <c r="BL18" s="5"/>
      <c r="BM18" s="5"/>
      <c r="BN18" s="5"/>
      <c r="BO18" s="5"/>
      <c r="BP18" s="5"/>
      <c r="BQ18" s="5"/>
      <c r="BR18" s="41"/>
      <c r="BS18" s="43"/>
      <c r="BT18" s="43"/>
      <c r="BU18" s="43"/>
      <c r="BV18" s="43"/>
      <c r="BW18" s="43"/>
      <c r="BX18" s="43"/>
    </row>
    <row r="19" spans="1:77" ht="15.6" x14ac:dyDescent="0.3">
      <c r="A19" s="41" t="str">
        <f>CONCATENATE("от ",INDEX(Данные!$K$54:$W$99,Данные!K52,4)," м3/ч до ",INDEX(Данные!$K$54:$W$99,Данные!K52,7)," м3/ч : ± ",INDEX(Данные!$K$54:$W$99,Данные!K52,9)," %")</f>
        <v>от 0,15 м3/ч до 3 м3/ч : ± 2 %</v>
      </c>
      <c r="B19" s="5"/>
      <c r="C19" s="41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/>
      <c r="AO19" s="5"/>
      <c r="AP19" s="5"/>
      <c r="AQ19" s="5"/>
      <c r="AR19" s="5"/>
      <c r="AS19" s="5"/>
      <c r="AT19" s="5"/>
      <c r="AU19" s="5"/>
      <c r="AV19" s="5"/>
      <c r="AW19" s="5"/>
      <c r="AX19" s="5"/>
      <c r="AY19" s="5"/>
      <c r="AZ19" s="5"/>
      <c r="BA19" s="5"/>
      <c r="BB19" s="5"/>
      <c r="BC19" s="34"/>
      <c r="BD19" s="5"/>
      <c r="BE19" s="5"/>
      <c r="BF19" s="5"/>
      <c r="BG19" s="5"/>
      <c r="BH19" s="5"/>
      <c r="BI19" s="5"/>
      <c r="BJ19" s="5"/>
      <c r="BK19" s="5"/>
      <c r="BL19" s="5"/>
      <c r="BM19" s="5"/>
      <c r="BN19" s="5"/>
      <c r="BO19" s="5"/>
      <c r="BP19" s="5"/>
      <c r="BQ19" s="5"/>
      <c r="BR19" s="41"/>
      <c r="BS19" s="43"/>
      <c r="BT19" s="43"/>
      <c r="BU19" s="43"/>
      <c r="BV19" s="43"/>
      <c r="BW19" s="43"/>
      <c r="BX19" s="43"/>
    </row>
    <row r="20" spans="1:77" ht="15.6" x14ac:dyDescent="0.3">
      <c r="A20" s="5" t="s">
        <v>2</v>
      </c>
      <c r="B20" s="5"/>
      <c r="C20" s="43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5"/>
      <c r="AZ20" s="5"/>
      <c r="BA20" s="5"/>
      <c r="BB20" s="5"/>
      <c r="BC20" s="5"/>
      <c r="BD20" s="5"/>
      <c r="BE20" s="5"/>
      <c r="BF20" s="5"/>
      <c r="BG20" s="5"/>
      <c r="BH20" s="5"/>
      <c r="BI20" s="5"/>
      <c r="BJ20" s="5"/>
      <c r="BK20" s="5"/>
      <c r="BL20" s="5"/>
      <c r="BM20" s="5"/>
      <c r="BN20" s="5"/>
      <c r="BO20" s="5"/>
      <c r="BP20" s="5"/>
      <c r="BQ20" s="5"/>
      <c r="BR20" s="41"/>
      <c r="BS20" s="43"/>
      <c r="BT20" s="43"/>
      <c r="BU20" s="43"/>
      <c r="BV20" s="43"/>
      <c r="BW20" s="43"/>
      <c r="BX20" s="43"/>
    </row>
    <row r="21" spans="1:77" ht="15.6" x14ac:dyDescent="0.3">
      <c r="A21" s="5" t="s">
        <v>30</v>
      </c>
      <c r="B21" s="5"/>
      <c r="C21" s="43"/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/>
      <c r="AQ21" s="5"/>
      <c r="AR21" s="5"/>
      <c r="AS21" s="5"/>
      <c r="AT21" s="5"/>
      <c r="AU21" s="5"/>
      <c r="AV21" s="5"/>
      <c r="AW21" s="5"/>
      <c r="AX21" s="5"/>
      <c r="AY21" s="5"/>
      <c r="AZ21" s="5"/>
      <c r="BA21" s="5"/>
      <c r="BB21" s="5"/>
      <c r="BC21" s="5"/>
      <c r="BD21" s="5"/>
      <c r="BE21" s="5"/>
      <c r="BF21" s="5"/>
      <c r="BG21" s="5"/>
      <c r="BH21" s="5"/>
      <c r="BI21" s="5"/>
      <c r="BJ21" s="5"/>
      <c r="BK21" s="5"/>
      <c r="BL21" s="5"/>
      <c r="BM21" s="5"/>
      <c r="BN21" s="5"/>
      <c r="BO21" s="5"/>
      <c r="BP21" s="5"/>
      <c r="BQ21" s="5"/>
      <c r="BR21" s="41"/>
      <c r="BS21" s="43"/>
      <c r="BT21" s="43"/>
      <c r="BU21" s="43"/>
      <c r="BV21" s="43"/>
      <c r="BW21" s="43"/>
      <c r="BX21" s="43"/>
    </row>
    <row r="22" spans="1:77" ht="15.6" x14ac:dyDescent="0.3">
      <c r="A22" s="41" t="str">
        <f>CONCATENATE("от ",INDEX(Данные!$K$54:$W$99,Данные!K52,3)," м3/ч до ",INDEX(Данные!$K$54:$W$99,Данные!K52,5)," м3/ч : ± ",INDEX(Данные!$K$54:$W$99,Данные!K52,8)," %")</f>
        <v>от 0,03 м3/ч до 0,12 м3/ч : ± 5 %</v>
      </c>
      <c r="B22" s="5"/>
      <c r="C22" s="5"/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5"/>
      <c r="AQ22" s="5"/>
      <c r="AR22" s="5"/>
      <c r="AS22" s="5"/>
      <c r="AT22" s="5"/>
      <c r="AU22" s="5"/>
      <c r="AV22" s="5"/>
      <c r="AW22" s="5"/>
      <c r="AX22" s="5"/>
      <c r="AY22" s="5"/>
      <c r="AZ22" s="5"/>
      <c r="BA22" s="5"/>
      <c r="BB22" s="5"/>
      <c r="BC22" s="5"/>
      <c r="BD22" s="5"/>
      <c r="BE22" s="5"/>
      <c r="BF22" s="5"/>
      <c r="BG22" s="5"/>
      <c r="BH22" s="5"/>
      <c r="BI22" s="5"/>
      <c r="BJ22" s="5"/>
      <c r="BK22" s="5"/>
      <c r="BL22" s="5"/>
      <c r="BM22" s="5"/>
      <c r="BN22" s="5"/>
      <c r="BO22" s="5"/>
      <c r="BP22" s="5"/>
      <c r="BQ22" s="5"/>
      <c r="BR22" s="41"/>
      <c r="BS22" s="43"/>
      <c r="BT22" s="43"/>
      <c r="BU22" s="43"/>
      <c r="BV22" s="43"/>
      <c r="BW22" s="43"/>
      <c r="BX22" s="43"/>
    </row>
    <row r="23" spans="1:77" ht="15.6" x14ac:dyDescent="0.3">
      <c r="A23" s="41" t="str">
        <f>CONCATENATE("от ",INDEX(Данные!$K$54:$W$99,Данные!K52,5)," м3/ч до ",INDEX(Данные!$K$54:$W$99,Данные!K52,7)," м3/ч : ± ",INDEX(Данные!$K$54:$W$99,Данные!K52,9)," %")</f>
        <v>от 0,12 м3/ч до 3 м3/ч : ± 2 %</v>
      </c>
      <c r="B23" s="5"/>
      <c r="C23" s="41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/>
      <c r="AQ23" s="5"/>
      <c r="AR23" s="5"/>
      <c r="AS23" s="5"/>
      <c r="AT23" s="5"/>
      <c r="AU23" s="5"/>
      <c r="AV23" s="5"/>
      <c r="AW23" s="5"/>
      <c r="AX23" s="5"/>
      <c r="AY23" s="5"/>
      <c r="AZ23" s="5"/>
      <c r="BA23" s="5"/>
      <c r="BB23" s="5"/>
      <c r="BC23" s="34"/>
      <c r="BD23" s="5"/>
      <c r="BE23" s="5"/>
      <c r="BF23" s="5"/>
      <c r="BG23" s="5"/>
      <c r="BH23" s="5"/>
      <c r="BI23" s="5"/>
      <c r="BJ23" s="5"/>
      <c r="BK23" s="5"/>
      <c r="BL23" s="5"/>
      <c r="BM23" s="5"/>
      <c r="BN23" s="5"/>
      <c r="BO23" s="5"/>
      <c r="BP23" s="5"/>
      <c r="BQ23" s="5"/>
      <c r="BR23" s="41"/>
      <c r="BS23" s="43"/>
      <c r="BT23" s="43"/>
      <c r="BU23" s="43"/>
      <c r="BV23" s="43"/>
      <c r="BW23" s="43"/>
      <c r="BX23" s="43"/>
    </row>
    <row r="24" spans="1:77" ht="15.6" x14ac:dyDescent="0.3">
      <c r="A24" s="5"/>
      <c r="B24" s="5"/>
      <c r="C24" s="5"/>
      <c r="D24" s="5"/>
      <c r="E24" s="5"/>
      <c r="F24" s="5"/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  <c r="AQ24" s="5"/>
      <c r="AR24" s="5"/>
      <c r="AS24" s="5"/>
      <c r="AT24" s="5"/>
      <c r="AU24" s="5"/>
      <c r="AV24" s="5"/>
      <c r="AW24" s="5"/>
      <c r="AX24" s="5"/>
      <c r="AY24" s="5"/>
      <c r="AZ24" s="5"/>
      <c r="BA24" s="5"/>
      <c r="BB24" s="5"/>
      <c r="BC24" s="5"/>
      <c r="BD24" s="5"/>
      <c r="BE24" s="5"/>
      <c r="BF24" s="5"/>
      <c r="BG24" s="5"/>
      <c r="BH24" s="5"/>
      <c r="BI24" s="5"/>
      <c r="BJ24" s="5"/>
      <c r="BK24" s="5"/>
      <c r="BL24" s="5"/>
      <c r="BM24" s="5"/>
      <c r="BN24" s="5"/>
      <c r="BO24" s="5"/>
      <c r="BP24" s="5"/>
      <c r="BQ24" s="5"/>
      <c r="BR24" s="41"/>
      <c r="BS24" s="43"/>
      <c r="BT24" s="43"/>
      <c r="BU24" s="43"/>
      <c r="BV24" s="43"/>
      <c r="BW24" s="43"/>
      <c r="BX24" s="43"/>
    </row>
    <row r="25" spans="1:77" ht="15.6" x14ac:dyDescent="0.3">
      <c r="A25" s="38"/>
      <c r="B25" s="38"/>
      <c r="C25" s="38"/>
      <c r="D25" s="38"/>
      <c r="E25" s="38"/>
      <c r="F25" s="38"/>
      <c r="G25" s="38"/>
      <c r="H25" s="38"/>
      <c r="I25" s="38"/>
      <c r="J25" s="38"/>
      <c r="K25" s="38"/>
      <c r="L25" s="38"/>
      <c r="M25" s="38"/>
      <c r="N25" s="38"/>
      <c r="O25" s="38"/>
      <c r="P25" s="38"/>
      <c r="Q25" s="38"/>
      <c r="R25" s="38"/>
      <c r="S25" s="38"/>
      <c r="T25" s="38"/>
      <c r="U25" s="38"/>
      <c r="V25" s="38"/>
      <c r="W25" s="38"/>
      <c r="X25" s="38"/>
      <c r="Y25" s="38"/>
      <c r="Z25" s="38"/>
      <c r="AA25" s="38"/>
      <c r="AB25" s="38"/>
      <c r="AC25" s="38"/>
      <c r="AD25" s="38"/>
      <c r="AE25" s="38"/>
      <c r="AF25" s="38"/>
      <c r="AG25" s="38"/>
      <c r="AH25" s="38"/>
      <c r="AI25" s="38"/>
      <c r="AJ25" s="38"/>
      <c r="AK25" s="38"/>
      <c r="AL25" s="38"/>
      <c r="AM25" s="38"/>
      <c r="AN25" s="38"/>
      <c r="AO25" s="38"/>
      <c r="AP25" s="38"/>
      <c r="AQ25" s="38"/>
      <c r="AR25" s="38"/>
      <c r="AS25" s="38"/>
      <c r="AT25" s="38"/>
      <c r="AU25" s="38"/>
      <c r="AV25" s="38"/>
      <c r="AW25" s="38"/>
      <c r="AX25" s="38"/>
      <c r="AY25" s="38"/>
      <c r="AZ25" s="38"/>
      <c r="BA25" s="38"/>
      <c r="BB25" s="38"/>
      <c r="BC25" s="38"/>
      <c r="BD25" s="38"/>
      <c r="BE25" s="38"/>
      <c r="BF25" s="38"/>
      <c r="BG25" s="38"/>
      <c r="BH25" s="38"/>
      <c r="BI25" s="38"/>
      <c r="BJ25" s="38"/>
      <c r="BK25" s="38"/>
      <c r="BL25" s="38"/>
      <c r="BM25" s="38"/>
      <c r="BN25" s="38"/>
      <c r="BO25" s="38"/>
      <c r="BP25" s="38"/>
      <c r="BQ25" s="38"/>
      <c r="BR25" s="41"/>
      <c r="BS25" s="43"/>
      <c r="BT25" s="43"/>
      <c r="BU25" s="43"/>
      <c r="BV25" s="43"/>
      <c r="BW25" s="43"/>
      <c r="BX25" s="43"/>
    </row>
    <row r="26" spans="1:77" s="60" customFormat="1" ht="15" customHeight="1" x14ac:dyDescent="0.3">
      <c r="A26" s="162" t="s">
        <v>82</v>
      </c>
      <c r="B26" s="153"/>
      <c r="C26" s="153"/>
      <c r="D26" s="153"/>
      <c r="E26" s="153"/>
      <c r="F26" s="153"/>
      <c r="G26" s="153"/>
      <c r="H26" s="153"/>
      <c r="I26" s="153"/>
      <c r="J26" s="153"/>
      <c r="K26" s="153"/>
      <c r="L26" s="153"/>
      <c r="M26" s="153"/>
      <c r="N26" s="153"/>
      <c r="O26" s="153"/>
      <c r="P26" s="153"/>
      <c r="Q26" s="153"/>
      <c r="R26" s="153"/>
      <c r="S26" s="153"/>
      <c r="T26" s="153"/>
      <c r="U26" s="153"/>
      <c r="V26" s="153"/>
      <c r="W26" s="153"/>
      <c r="X26" s="153"/>
      <c r="Y26" s="153"/>
      <c r="Z26" s="153"/>
      <c r="AA26" s="153"/>
      <c r="AB26" s="153"/>
      <c r="AC26" s="153"/>
      <c r="AD26" s="153"/>
      <c r="AE26" s="154"/>
      <c r="AF26" s="152" t="s">
        <v>78</v>
      </c>
      <c r="AG26" s="153"/>
      <c r="AH26" s="153"/>
      <c r="AI26" s="153"/>
      <c r="AJ26" s="153"/>
      <c r="AK26" s="153"/>
      <c r="AL26" s="153"/>
      <c r="AM26" s="153"/>
      <c r="AN26" s="153"/>
      <c r="AO26" s="154"/>
      <c r="AP26" s="152" t="s">
        <v>79</v>
      </c>
      <c r="AQ26" s="153"/>
      <c r="AR26" s="153"/>
      <c r="AS26" s="153"/>
      <c r="AT26" s="153"/>
      <c r="AU26" s="153"/>
      <c r="AV26" s="154"/>
      <c r="AW26" s="63"/>
      <c r="AX26" s="63"/>
      <c r="AY26" s="63"/>
      <c r="AZ26" s="63"/>
      <c r="BA26" s="63"/>
      <c r="BB26" s="63"/>
      <c r="BC26" s="63"/>
      <c r="BD26" s="63"/>
      <c r="BE26" s="63"/>
      <c r="BF26" s="63"/>
      <c r="BG26" s="63"/>
      <c r="BH26" s="63"/>
      <c r="BI26" s="63"/>
      <c r="BJ26" s="63"/>
      <c r="BK26" s="63"/>
      <c r="BL26" s="63"/>
      <c r="BM26" s="63"/>
      <c r="BN26" s="63"/>
      <c r="BO26" s="63"/>
      <c r="BP26" s="63"/>
      <c r="BQ26" s="63"/>
      <c r="BR26" s="42"/>
      <c r="BS26" s="92"/>
      <c r="BT26" s="92"/>
      <c r="BU26" s="92"/>
      <c r="BV26" s="92"/>
      <c r="BW26" s="92"/>
      <c r="BX26" s="43"/>
    </row>
    <row r="27" spans="1:77" s="60" customFormat="1" ht="15" customHeight="1" x14ac:dyDescent="0.3">
      <c r="A27" s="155"/>
      <c r="B27" s="156"/>
      <c r="C27" s="156"/>
      <c r="D27" s="156"/>
      <c r="E27" s="156"/>
      <c r="F27" s="156"/>
      <c r="G27" s="156"/>
      <c r="H27" s="156"/>
      <c r="I27" s="156"/>
      <c r="J27" s="156"/>
      <c r="K27" s="156"/>
      <c r="L27" s="156"/>
      <c r="M27" s="156"/>
      <c r="N27" s="156"/>
      <c r="O27" s="156"/>
      <c r="P27" s="156"/>
      <c r="Q27" s="156"/>
      <c r="R27" s="156"/>
      <c r="S27" s="156"/>
      <c r="T27" s="156"/>
      <c r="U27" s="156"/>
      <c r="V27" s="156"/>
      <c r="W27" s="156"/>
      <c r="X27" s="156"/>
      <c r="Y27" s="156"/>
      <c r="Z27" s="156"/>
      <c r="AA27" s="156"/>
      <c r="AB27" s="156"/>
      <c r="AC27" s="156"/>
      <c r="AD27" s="156"/>
      <c r="AE27" s="157"/>
      <c r="AF27" s="155"/>
      <c r="AG27" s="156"/>
      <c r="AH27" s="156"/>
      <c r="AI27" s="156"/>
      <c r="AJ27" s="156"/>
      <c r="AK27" s="156"/>
      <c r="AL27" s="156"/>
      <c r="AM27" s="156"/>
      <c r="AN27" s="156"/>
      <c r="AO27" s="157"/>
      <c r="AP27" s="155"/>
      <c r="AQ27" s="156"/>
      <c r="AR27" s="156"/>
      <c r="AS27" s="156"/>
      <c r="AT27" s="156"/>
      <c r="AU27" s="156"/>
      <c r="AV27" s="157"/>
      <c r="AW27" s="63"/>
      <c r="AX27" s="63"/>
      <c r="AY27" s="63"/>
      <c r="AZ27" s="63"/>
      <c r="BA27" s="63"/>
      <c r="BB27" s="63"/>
      <c r="BC27" s="63"/>
      <c r="BD27" s="63"/>
      <c r="BE27" s="63"/>
      <c r="BF27" s="63"/>
      <c r="BG27" s="63"/>
      <c r="BH27" s="63"/>
      <c r="BI27" s="63"/>
      <c r="BJ27" s="63"/>
      <c r="BK27" s="63"/>
      <c r="BL27" s="63"/>
      <c r="BM27" s="63"/>
      <c r="BN27" s="63"/>
      <c r="BO27" s="63"/>
      <c r="BP27" s="63"/>
      <c r="BQ27" s="63"/>
      <c r="BR27" s="42"/>
      <c r="BS27" s="92"/>
      <c r="BT27" s="92"/>
      <c r="BU27" s="92"/>
      <c r="BV27" s="92"/>
      <c r="BW27" s="92"/>
      <c r="BX27" s="43"/>
    </row>
    <row r="28" spans="1:77" s="60" customFormat="1" ht="21" customHeight="1" x14ac:dyDescent="0.3">
      <c r="A28" s="159" t="s">
        <v>75</v>
      </c>
      <c r="B28" s="160"/>
      <c r="C28" s="160"/>
      <c r="D28" s="160"/>
      <c r="E28" s="160"/>
      <c r="F28" s="160"/>
      <c r="G28" s="160"/>
      <c r="H28" s="160"/>
      <c r="I28" s="160"/>
      <c r="J28" s="160"/>
      <c r="K28" s="160"/>
      <c r="L28" s="160"/>
      <c r="M28" s="160"/>
      <c r="N28" s="160"/>
      <c r="O28" s="160"/>
      <c r="P28" s="160"/>
      <c r="Q28" s="160"/>
      <c r="R28" s="160"/>
      <c r="S28" s="160"/>
      <c r="T28" s="160"/>
      <c r="U28" s="160"/>
      <c r="V28" s="160"/>
      <c r="W28" s="160"/>
      <c r="X28" s="160"/>
      <c r="Y28" s="160"/>
      <c r="Z28" s="160"/>
      <c r="AA28" s="160"/>
      <c r="AB28" s="160"/>
      <c r="AC28" s="160"/>
      <c r="AD28" s="160"/>
      <c r="AE28" s="161"/>
      <c r="AF28" s="117">
        <f>Данные!B11</f>
        <v>22.4</v>
      </c>
      <c r="AG28" s="115"/>
      <c r="AH28" s="115"/>
      <c r="AI28" s="115"/>
      <c r="AJ28" s="115"/>
      <c r="AK28" s="115"/>
      <c r="AL28" s="115"/>
      <c r="AM28" s="115"/>
      <c r="AN28" s="115"/>
      <c r="AO28" s="116"/>
      <c r="AP28" s="117">
        <f ca="1">AF28+(RANDBETWEEN(-26,53)/10)</f>
        <v>24.9</v>
      </c>
      <c r="AQ28" s="115"/>
      <c r="AR28" s="115"/>
      <c r="AS28" s="115"/>
      <c r="AT28" s="115"/>
      <c r="AU28" s="115"/>
      <c r="AV28" s="116"/>
      <c r="AW28" s="63"/>
      <c r="AX28" s="99" t="s">
        <v>94</v>
      </c>
      <c r="AY28" s="99"/>
      <c r="AZ28" s="99"/>
      <c r="BA28" s="99"/>
      <c r="BB28" s="99"/>
      <c r="BC28" s="99"/>
      <c r="BD28" s="99"/>
      <c r="BE28" s="99"/>
      <c r="BF28" s="63"/>
      <c r="BG28" s="63"/>
      <c r="BH28" s="63"/>
      <c r="BI28" s="63"/>
      <c r="BJ28" s="63"/>
      <c r="BK28" s="63"/>
      <c r="BL28" s="63"/>
      <c r="BM28" s="63"/>
      <c r="BN28" s="63"/>
      <c r="BO28" s="63"/>
      <c r="BP28" s="63"/>
      <c r="BQ28" s="63"/>
      <c r="BR28" s="42"/>
      <c r="BS28" s="92"/>
      <c r="BT28" s="92"/>
      <c r="BU28" s="92"/>
      <c r="BV28" s="92"/>
      <c r="BW28" s="92"/>
      <c r="BX28" s="43"/>
    </row>
    <row r="29" spans="1:77" s="60" customFormat="1" ht="21.75" customHeight="1" x14ac:dyDescent="0.3">
      <c r="A29" s="158" t="s">
        <v>76</v>
      </c>
      <c r="B29" s="115"/>
      <c r="C29" s="115"/>
      <c r="D29" s="115"/>
      <c r="E29" s="115"/>
      <c r="F29" s="115"/>
      <c r="G29" s="115"/>
      <c r="H29" s="115"/>
      <c r="I29" s="115"/>
      <c r="J29" s="115"/>
      <c r="K29" s="115"/>
      <c r="L29" s="115"/>
      <c r="M29" s="115"/>
      <c r="N29" s="115"/>
      <c r="O29" s="115"/>
      <c r="P29" s="115"/>
      <c r="Q29" s="115"/>
      <c r="R29" s="115"/>
      <c r="S29" s="115"/>
      <c r="T29" s="115"/>
      <c r="U29" s="115"/>
      <c r="V29" s="115"/>
      <c r="W29" s="115"/>
      <c r="X29" s="115"/>
      <c r="Y29" s="115"/>
      <c r="Z29" s="115"/>
      <c r="AA29" s="115"/>
      <c r="AB29" s="115"/>
      <c r="AC29" s="115"/>
      <c r="AD29" s="115"/>
      <c r="AE29" s="116"/>
      <c r="AF29" s="114">
        <f>Данные!B12</f>
        <v>60.1</v>
      </c>
      <c r="AG29" s="115"/>
      <c r="AH29" s="115"/>
      <c r="AI29" s="115"/>
      <c r="AJ29" s="115"/>
      <c r="AK29" s="115"/>
      <c r="AL29" s="115"/>
      <c r="AM29" s="115"/>
      <c r="AN29" s="115"/>
      <c r="AO29" s="116"/>
      <c r="AP29" s="114">
        <f ca="1">AF29+(RANDBETWEEN(43,97)/10)</f>
        <v>67.400000000000006</v>
      </c>
      <c r="AQ29" s="115"/>
      <c r="AR29" s="115"/>
      <c r="AS29" s="115"/>
      <c r="AT29" s="115"/>
      <c r="AU29" s="115"/>
      <c r="AV29" s="116"/>
      <c r="AW29" s="63"/>
      <c r="AX29" s="99" t="s">
        <v>95</v>
      </c>
      <c r="AY29" s="99"/>
      <c r="AZ29" s="99"/>
      <c r="BA29" s="99"/>
      <c r="BB29" s="99"/>
      <c r="BC29" s="99"/>
      <c r="BD29" s="99"/>
      <c r="BE29" s="99"/>
      <c r="BF29" s="63"/>
      <c r="BG29" s="63"/>
      <c r="BH29" s="63"/>
      <c r="BI29" s="63"/>
      <c r="BJ29" s="63"/>
      <c r="BK29" s="63"/>
      <c r="BL29" s="63"/>
      <c r="BM29" s="63"/>
      <c r="BN29" s="63"/>
      <c r="BO29" s="63"/>
      <c r="BP29" s="63"/>
      <c r="BQ29" s="63"/>
      <c r="BR29" s="42"/>
      <c r="BS29" s="92"/>
      <c r="BT29" s="92"/>
      <c r="BU29" s="92"/>
      <c r="BV29" s="92"/>
      <c r="BW29" s="92"/>
      <c r="BX29" s="43"/>
    </row>
    <row r="30" spans="1:77" s="60" customFormat="1" ht="21" customHeight="1" x14ac:dyDescent="0.3">
      <c r="A30" s="158" t="s">
        <v>77</v>
      </c>
      <c r="B30" s="115"/>
      <c r="C30" s="115"/>
      <c r="D30" s="115"/>
      <c r="E30" s="115"/>
      <c r="F30" s="115"/>
      <c r="G30" s="115"/>
      <c r="H30" s="115"/>
      <c r="I30" s="115"/>
      <c r="J30" s="115"/>
      <c r="K30" s="115"/>
      <c r="L30" s="115"/>
      <c r="M30" s="115"/>
      <c r="N30" s="115"/>
      <c r="O30" s="115"/>
      <c r="P30" s="115"/>
      <c r="Q30" s="115"/>
      <c r="R30" s="115"/>
      <c r="S30" s="115"/>
      <c r="T30" s="115"/>
      <c r="U30" s="115"/>
      <c r="V30" s="115"/>
      <c r="W30" s="115"/>
      <c r="X30" s="115"/>
      <c r="Y30" s="115"/>
      <c r="Z30" s="115"/>
      <c r="AA30" s="115"/>
      <c r="AB30" s="115"/>
      <c r="AC30" s="115"/>
      <c r="AD30" s="115"/>
      <c r="AE30" s="116"/>
      <c r="AF30" s="114">
        <f>Данные!B13</f>
        <v>109.5</v>
      </c>
      <c r="AG30" s="115"/>
      <c r="AH30" s="115"/>
      <c r="AI30" s="115"/>
      <c r="AJ30" s="115"/>
      <c r="AK30" s="115"/>
      <c r="AL30" s="115"/>
      <c r="AM30" s="115"/>
      <c r="AN30" s="115"/>
      <c r="AO30" s="116"/>
      <c r="AP30" s="118">
        <f>AF30</f>
        <v>109.5</v>
      </c>
      <c r="AQ30" s="119"/>
      <c r="AR30" s="119"/>
      <c r="AS30" s="119"/>
      <c r="AT30" s="119"/>
      <c r="AU30" s="119"/>
      <c r="AV30" s="120"/>
      <c r="AW30" s="63"/>
      <c r="AX30" s="99" t="s">
        <v>96</v>
      </c>
      <c r="AY30" s="99"/>
      <c r="AZ30" s="99"/>
      <c r="BA30" s="99"/>
      <c r="BB30" s="99"/>
      <c r="BC30" s="99"/>
      <c r="BD30" s="99"/>
      <c r="BE30" s="99"/>
      <c r="BF30" s="99"/>
      <c r="BG30" s="63"/>
      <c r="BH30" s="63"/>
      <c r="BI30" s="63"/>
      <c r="BJ30" s="63"/>
      <c r="BK30" s="63"/>
      <c r="BL30" s="63"/>
      <c r="BM30" s="63"/>
      <c r="BN30" s="63"/>
      <c r="BO30" s="63"/>
      <c r="BP30" s="63"/>
      <c r="BQ30" s="63"/>
      <c r="BR30" s="42"/>
      <c r="BS30" s="92"/>
      <c r="BT30" s="92"/>
      <c r="BU30" s="92"/>
      <c r="BV30" s="92"/>
      <c r="BW30" s="92"/>
      <c r="BX30" s="43"/>
    </row>
    <row r="31" spans="1:77" s="60" customFormat="1" ht="23.25" customHeight="1" x14ac:dyDescent="0.3">
      <c r="A31" s="158" t="s">
        <v>83</v>
      </c>
      <c r="B31" s="115"/>
      <c r="C31" s="115"/>
      <c r="D31" s="115"/>
      <c r="E31" s="115"/>
      <c r="F31" s="115"/>
      <c r="G31" s="115"/>
      <c r="H31" s="115"/>
      <c r="I31" s="115"/>
      <c r="J31" s="115"/>
      <c r="K31" s="115"/>
      <c r="L31" s="115"/>
      <c r="M31" s="115"/>
      <c r="N31" s="115"/>
      <c r="O31" s="115"/>
      <c r="P31" s="115"/>
      <c r="Q31" s="115"/>
      <c r="R31" s="115"/>
      <c r="S31" s="115"/>
      <c r="T31" s="115"/>
      <c r="U31" s="115"/>
      <c r="V31" s="115"/>
      <c r="W31" s="115"/>
      <c r="X31" s="115"/>
      <c r="Y31" s="115"/>
      <c r="Z31" s="115"/>
      <c r="AA31" s="115"/>
      <c r="AB31" s="115"/>
      <c r="AC31" s="115"/>
      <c r="AD31" s="115"/>
      <c r="AE31" s="116"/>
      <c r="AF31" s="114">
        <f>Данные!B14</f>
        <v>5</v>
      </c>
      <c r="AG31" s="115"/>
      <c r="AH31" s="115"/>
      <c r="AI31" s="115"/>
      <c r="AJ31" s="115"/>
      <c r="AK31" s="115"/>
      <c r="AL31" s="115"/>
      <c r="AM31" s="115"/>
      <c r="AN31" s="115"/>
      <c r="AO31" s="116"/>
      <c r="AP31" s="114">
        <f>Данные!B15</f>
        <v>5</v>
      </c>
      <c r="AQ31" s="115"/>
      <c r="AR31" s="115"/>
      <c r="AS31" s="115"/>
      <c r="AT31" s="115"/>
      <c r="AU31" s="115"/>
      <c r="AV31" s="116"/>
      <c r="AW31" s="63"/>
      <c r="AX31" s="100" t="s">
        <v>81</v>
      </c>
      <c r="AY31" s="100"/>
      <c r="AZ31" s="100"/>
      <c r="BA31" s="100"/>
      <c r="BB31" s="100"/>
      <c r="BC31" s="100"/>
      <c r="BD31" s="100"/>
      <c r="BE31" s="100"/>
      <c r="BF31" s="100"/>
      <c r="BG31" s="100"/>
      <c r="BH31" s="100"/>
      <c r="BI31" s="100"/>
      <c r="BJ31" s="100"/>
      <c r="BK31" s="100"/>
      <c r="BL31" s="100"/>
      <c r="BM31" s="100"/>
      <c r="BN31" s="100"/>
      <c r="BO31" s="100"/>
      <c r="BP31" s="100"/>
      <c r="BQ31" s="100"/>
      <c r="BR31" s="100"/>
      <c r="BS31" s="100"/>
      <c r="BT31" s="100"/>
      <c r="BU31" s="100"/>
      <c r="BV31" s="100"/>
      <c r="BW31" s="100"/>
      <c r="BX31" s="66"/>
      <c r="BY31" s="66"/>
    </row>
    <row r="32" spans="1:77" s="60" customFormat="1" ht="15.6" x14ac:dyDescent="0.3">
      <c r="A32" s="62"/>
      <c r="B32" s="62"/>
      <c r="C32" s="62"/>
      <c r="D32" s="62"/>
      <c r="E32" s="62"/>
      <c r="F32" s="62"/>
      <c r="G32" s="62"/>
      <c r="H32" s="62"/>
      <c r="I32" s="62"/>
      <c r="J32" s="62"/>
      <c r="K32" s="62"/>
      <c r="L32" s="62"/>
      <c r="M32" s="62"/>
      <c r="N32" s="62"/>
      <c r="O32" s="62"/>
      <c r="P32" s="62"/>
      <c r="Q32" s="62"/>
      <c r="R32" s="62"/>
      <c r="S32" s="62"/>
      <c r="T32" s="62"/>
      <c r="U32" s="62"/>
      <c r="V32" s="62"/>
      <c r="W32" s="62"/>
      <c r="X32" s="62"/>
      <c r="Y32" s="62"/>
      <c r="Z32" s="62"/>
      <c r="AA32" s="62"/>
      <c r="AB32" s="62"/>
      <c r="AC32" s="62"/>
      <c r="AD32" s="62"/>
      <c r="AE32" s="62"/>
      <c r="AF32" s="62"/>
      <c r="AG32" s="62"/>
      <c r="AH32" s="62"/>
      <c r="AI32" s="62"/>
      <c r="AJ32" s="62"/>
      <c r="AK32" s="62"/>
      <c r="AL32" s="62"/>
      <c r="AM32" s="62"/>
      <c r="AN32" s="62"/>
      <c r="AO32" s="62"/>
      <c r="AP32" s="62"/>
      <c r="AQ32" s="62"/>
      <c r="AR32" s="62"/>
      <c r="AS32" s="62"/>
      <c r="AT32" s="62"/>
      <c r="AU32" s="62"/>
      <c r="AV32" s="62"/>
      <c r="AW32" s="62"/>
      <c r="AX32" s="62"/>
      <c r="AY32" s="62"/>
      <c r="AZ32" s="62"/>
      <c r="BA32" s="62"/>
      <c r="BB32" s="62"/>
      <c r="BC32" s="62"/>
      <c r="BD32" s="62"/>
      <c r="BE32" s="62"/>
      <c r="BF32" s="62"/>
      <c r="BG32" s="62"/>
      <c r="BH32" s="62"/>
      <c r="BI32" s="62"/>
      <c r="BJ32" s="62"/>
      <c r="BK32" s="62"/>
      <c r="BL32" s="62"/>
      <c r="BM32" s="62"/>
      <c r="BN32" s="62"/>
      <c r="BO32" s="62"/>
      <c r="BP32" s="62"/>
      <c r="BQ32" s="62"/>
      <c r="BR32" s="62"/>
      <c r="BS32" s="62"/>
      <c r="BT32" s="62"/>
      <c r="BU32" s="62"/>
      <c r="BV32" s="62"/>
      <c r="BW32" s="62"/>
      <c r="BX32" s="43"/>
    </row>
    <row r="33" spans="1:76" ht="15.6" x14ac:dyDescent="0.3">
      <c r="A33" s="5"/>
      <c r="B33" s="5"/>
      <c r="C33" s="5"/>
      <c r="D33" s="5"/>
      <c r="E33" s="5"/>
      <c r="F33" s="5"/>
      <c r="G33" s="5"/>
      <c r="H33" s="5"/>
      <c r="I33" s="5"/>
      <c r="J33" s="5"/>
      <c r="K33" s="5"/>
      <c r="L33" s="124" t="s">
        <v>31</v>
      </c>
      <c r="M33" s="124"/>
      <c r="N33" s="124"/>
      <c r="O33" s="124"/>
      <c r="P33" s="124"/>
      <c r="Q33" s="124"/>
      <c r="R33" s="124"/>
      <c r="S33" s="124"/>
      <c r="T33" s="124"/>
      <c r="U33" s="124"/>
      <c r="V33" s="124"/>
      <c r="W33" s="124"/>
      <c r="X33" s="124"/>
      <c r="Y33" s="124"/>
      <c r="Z33" s="124"/>
      <c r="AA33" s="124"/>
      <c r="AB33" s="124"/>
      <c r="AC33" s="124"/>
      <c r="AD33" s="124"/>
      <c r="AE33" s="124"/>
      <c r="AF33" s="124"/>
      <c r="AG33" s="124"/>
      <c r="AH33" s="124"/>
      <c r="AI33" s="124"/>
      <c r="AJ33" s="124"/>
      <c r="AK33" s="124"/>
      <c r="AL33" s="124"/>
      <c r="AM33" s="124"/>
      <c r="AN33" s="124"/>
      <c r="AO33" s="124"/>
      <c r="AP33" s="124"/>
      <c r="AQ33" s="124"/>
      <c r="AR33" s="124"/>
      <c r="AS33" s="124"/>
      <c r="AT33" s="124"/>
      <c r="AU33" s="124"/>
      <c r="AV33" s="124"/>
      <c r="AW33" s="124"/>
      <c r="AX33" s="124"/>
      <c r="AY33" s="124"/>
      <c r="AZ33" s="124"/>
      <c r="BA33" s="124"/>
      <c r="BB33" s="124"/>
      <c r="BC33" s="124"/>
      <c r="BD33" s="124"/>
      <c r="BE33" s="124"/>
      <c r="BF33" s="124"/>
      <c r="BG33" s="124"/>
      <c r="BH33" s="124"/>
      <c r="BI33" s="124"/>
      <c r="BJ33" s="124"/>
      <c r="BK33" s="124"/>
      <c r="BL33" s="124"/>
      <c r="BM33" s="124"/>
      <c r="BN33" s="124"/>
      <c r="BO33" s="5"/>
      <c r="BP33" s="5"/>
      <c r="BQ33" s="5"/>
      <c r="BR33" s="41"/>
      <c r="BS33" s="43"/>
      <c r="BT33" s="43"/>
      <c r="BU33" s="43"/>
      <c r="BV33" s="43"/>
      <c r="BW33" s="43"/>
      <c r="BX33" s="43"/>
    </row>
    <row r="34" spans="1:76" ht="6.75" customHeight="1" x14ac:dyDescent="0.3">
      <c r="A34" s="84"/>
      <c r="B34" s="84"/>
      <c r="C34" s="84"/>
      <c r="D34" s="84"/>
      <c r="E34" s="84"/>
      <c r="F34" s="84"/>
      <c r="G34" s="84"/>
      <c r="H34" s="84"/>
      <c r="I34" s="84"/>
      <c r="J34" s="84"/>
      <c r="K34" s="84"/>
      <c r="L34" s="84"/>
      <c r="M34" s="84"/>
      <c r="N34" s="84"/>
      <c r="O34" s="84"/>
      <c r="P34" s="84"/>
      <c r="Q34" s="84"/>
      <c r="R34" s="84"/>
      <c r="S34" s="84"/>
      <c r="T34" s="84"/>
      <c r="U34" s="84"/>
      <c r="V34" s="84"/>
      <c r="W34" s="84"/>
      <c r="X34" s="84"/>
      <c r="Y34" s="84"/>
      <c r="Z34" s="84"/>
      <c r="AA34" s="84"/>
      <c r="AB34" s="84"/>
      <c r="AC34" s="84"/>
      <c r="AD34" s="84"/>
      <c r="AE34" s="84"/>
      <c r="AF34" s="84"/>
      <c r="AG34" s="84"/>
      <c r="AH34" s="84"/>
      <c r="AI34" s="84"/>
      <c r="AJ34" s="84"/>
      <c r="AK34" s="84"/>
      <c r="AL34" s="84"/>
      <c r="AM34" s="84"/>
      <c r="AN34" s="84"/>
      <c r="AO34" s="84"/>
      <c r="AP34" s="84"/>
      <c r="AQ34" s="84"/>
      <c r="AR34" s="84"/>
      <c r="AS34" s="84"/>
      <c r="AT34" s="84"/>
      <c r="AU34" s="84"/>
      <c r="AV34" s="84"/>
      <c r="AW34" s="84"/>
      <c r="AX34" s="84"/>
      <c r="AY34" s="84"/>
      <c r="AZ34" s="84"/>
      <c r="BA34" s="84"/>
      <c r="BB34" s="84"/>
      <c r="BC34" s="84"/>
      <c r="BD34" s="84"/>
      <c r="BE34" s="84"/>
      <c r="BF34" s="84"/>
      <c r="BG34" s="84"/>
      <c r="BH34" s="84"/>
      <c r="BI34" s="84"/>
      <c r="BJ34" s="84"/>
      <c r="BK34" s="84"/>
      <c r="BL34" s="84"/>
      <c r="BM34" s="84"/>
      <c r="BN34" s="84"/>
      <c r="BO34" s="84"/>
      <c r="BP34" s="84"/>
      <c r="BQ34" s="84"/>
      <c r="BR34" s="41"/>
      <c r="BS34" s="43"/>
      <c r="BT34" s="43"/>
      <c r="BU34" s="43"/>
      <c r="BV34" s="43"/>
      <c r="BW34" s="43"/>
      <c r="BX34" s="43"/>
    </row>
    <row r="35" spans="1:76" ht="15.6" x14ac:dyDescent="0.3">
      <c r="A35" s="37" t="str">
        <f>Данные!D9</f>
        <v>УПСЖ 5П №2350 72850.18.3Р.00701885</v>
      </c>
      <c r="B35" s="37"/>
      <c r="C35" s="37"/>
      <c r="D35" s="37"/>
      <c r="E35" s="37"/>
      <c r="F35" s="37"/>
      <c r="G35" s="37"/>
      <c r="H35" s="37"/>
      <c r="I35" s="37"/>
      <c r="J35" s="37"/>
      <c r="K35" s="37"/>
      <c r="L35" s="37"/>
      <c r="M35" s="37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  <c r="AQ35" s="41"/>
      <c r="AR35" s="43"/>
      <c r="AS35" s="43"/>
      <c r="AT35" s="43"/>
      <c r="AU35" s="43"/>
      <c r="AV35" s="43"/>
      <c r="AW35" s="43"/>
      <c r="AX35" s="43"/>
      <c r="AY35" s="43"/>
      <c r="AZ35" s="43"/>
      <c r="BA35" s="43"/>
      <c r="BB35" s="43"/>
      <c r="BC35" s="43"/>
      <c r="BD35" s="43"/>
      <c r="BE35" s="43"/>
      <c r="BF35" s="43"/>
      <c r="BG35" s="43"/>
      <c r="BH35" s="43"/>
      <c r="BI35" s="43"/>
      <c r="BJ35" s="43"/>
      <c r="BK35" s="43"/>
      <c r="BL35" s="43"/>
      <c r="BM35" s="43"/>
      <c r="BN35" s="43"/>
      <c r="BO35" s="43"/>
      <c r="BP35" s="43"/>
      <c r="BQ35" s="43"/>
      <c r="BR35" s="43"/>
      <c r="BS35" s="43"/>
      <c r="BT35" s="43"/>
      <c r="BU35" s="43"/>
      <c r="BV35" s="43"/>
      <c r="BW35" s="43"/>
      <c r="BX35" s="43"/>
    </row>
    <row r="36" spans="1:76" ht="15.6" x14ac:dyDescent="0.3">
      <c r="A36" s="84"/>
      <c r="B36" s="5"/>
      <c r="C36" s="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  <c r="BB36" s="5"/>
      <c r="BC36" s="5"/>
      <c r="BD36" s="5"/>
      <c r="BE36" s="5"/>
      <c r="BF36" s="5"/>
      <c r="BG36" s="5"/>
      <c r="BH36" s="5"/>
      <c r="BI36" s="5"/>
      <c r="BJ36" s="5"/>
      <c r="BK36" s="5"/>
      <c r="BL36" s="5"/>
      <c r="BM36" s="5"/>
      <c r="BN36" s="5"/>
      <c r="BO36" s="5"/>
      <c r="BP36" s="5"/>
      <c r="BQ36" s="5"/>
      <c r="BR36" s="41"/>
      <c r="BS36" s="43"/>
      <c r="BT36" s="43"/>
      <c r="BU36" s="43"/>
      <c r="BV36" s="43"/>
      <c r="BW36" s="43"/>
      <c r="BX36" s="43"/>
    </row>
    <row r="37" spans="1:76" ht="15.6" x14ac:dyDescent="0.3">
      <c r="A37" s="5"/>
      <c r="B37" s="5"/>
      <c r="C37" s="5"/>
      <c r="D37" s="124" t="s">
        <v>32</v>
      </c>
      <c r="E37" s="124"/>
      <c r="F37" s="124"/>
      <c r="G37" s="124"/>
      <c r="H37" s="124"/>
      <c r="I37" s="124"/>
      <c r="J37" s="124"/>
      <c r="K37" s="124"/>
      <c r="L37" s="124"/>
      <c r="M37" s="124"/>
      <c r="N37" s="124"/>
      <c r="O37" s="124"/>
      <c r="P37" s="124"/>
      <c r="Q37" s="124"/>
      <c r="R37" s="124"/>
      <c r="S37" s="124"/>
      <c r="T37" s="124"/>
      <c r="U37" s="124"/>
      <c r="V37" s="124"/>
      <c r="W37" s="124"/>
      <c r="X37" s="124"/>
      <c r="Y37" s="124"/>
      <c r="Z37" s="124"/>
      <c r="AA37" s="124"/>
      <c r="AB37" s="124"/>
      <c r="AC37" s="124"/>
      <c r="AD37" s="124"/>
      <c r="AE37" s="124"/>
      <c r="AF37" s="124"/>
      <c r="AG37" s="124"/>
      <c r="AH37" s="124"/>
      <c r="AI37" s="124"/>
      <c r="AJ37" s="124"/>
      <c r="AK37" s="124"/>
      <c r="AL37" s="124"/>
      <c r="AM37" s="124"/>
      <c r="AN37" s="124"/>
      <c r="AO37" s="124"/>
      <c r="AP37" s="124"/>
      <c r="AQ37" s="124"/>
      <c r="AR37" s="124"/>
      <c r="AS37" s="124"/>
      <c r="AT37" s="124"/>
      <c r="AU37" s="124"/>
      <c r="AV37" s="124"/>
      <c r="AW37" s="124"/>
      <c r="AX37" s="124"/>
      <c r="AY37" s="124"/>
      <c r="AZ37" s="124"/>
      <c r="BA37" s="124"/>
      <c r="BB37" s="124"/>
      <c r="BC37" s="124"/>
      <c r="BD37" s="124"/>
      <c r="BE37" s="124"/>
      <c r="BF37" s="124"/>
      <c r="BG37" s="124"/>
      <c r="BH37" s="124"/>
      <c r="BI37" s="124"/>
      <c r="BJ37" s="124"/>
      <c r="BK37" s="124"/>
      <c r="BL37" s="124"/>
      <c r="BM37" s="124"/>
      <c r="BN37" s="124"/>
      <c r="BO37" s="124"/>
      <c r="BP37" s="124"/>
      <c r="BQ37" s="124"/>
      <c r="BR37" s="124"/>
      <c r="BS37" s="124"/>
      <c r="BT37" s="124"/>
      <c r="BU37" s="124"/>
      <c r="BV37" s="5"/>
      <c r="BW37" s="43"/>
      <c r="BX37" s="43"/>
    </row>
    <row r="38" spans="1:76" ht="4.5" customHeight="1" x14ac:dyDescent="0.3">
      <c r="A38" s="166" t="str">
        <f>INDEX(Данные!$K$54:$W$99,Данные!K52,2)</f>
        <v>«Рекомендация. ГСИ. Счетчики воды. Методика поверки» МИ 1592-2015</v>
      </c>
      <c r="B38" s="167"/>
      <c r="C38" s="167"/>
      <c r="D38" s="167"/>
      <c r="E38" s="167"/>
      <c r="F38" s="167"/>
      <c r="G38" s="167"/>
      <c r="H38" s="167"/>
      <c r="I38" s="167"/>
      <c r="J38" s="167"/>
      <c r="K38" s="167"/>
      <c r="L38" s="167"/>
      <c r="M38" s="167"/>
      <c r="N38" s="167"/>
      <c r="O38" s="167"/>
      <c r="P38" s="167"/>
      <c r="Q38" s="167"/>
      <c r="R38" s="167"/>
      <c r="S38" s="167"/>
      <c r="T38" s="167"/>
      <c r="U38" s="167"/>
      <c r="V38" s="167"/>
      <c r="W38" s="167"/>
      <c r="X38" s="167"/>
      <c r="Y38" s="167"/>
      <c r="Z38" s="167"/>
      <c r="AA38" s="167"/>
      <c r="AB38" s="167"/>
      <c r="AC38" s="167"/>
      <c r="AD38" s="167"/>
      <c r="AE38" s="167"/>
      <c r="AF38" s="167"/>
      <c r="AG38" s="167"/>
      <c r="AH38" s="167"/>
      <c r="AI38" s="167"/>
      <c r="AJ38" s="167"/>
      <c r="AK38" s="167"/>
      <c r="AL38" s="167"/>
      <c r="AM38" s="167"/>
      <c r="AN38" s="167"/>
      <c r="AO38" s="167"/>
      <c r="AP38" s="167"/>
      <c r="AQ38" s="167"/>
      <c r="AR38" s="167"/>
      <c r="AS38" s="167"/>
      <c r="AT38" s="167"/>
      <c r="AU38" s="167"/>
      <c r="AV38" s="167"/>
      <c r="AW38" s="167"/>
      <c r="AX38" s="167"/>
      <c r="AY38" s="167"/>
      <c r="AZ38" s="167"/>
      <c r="BA38" s="167"/>
      <c r="BB38" s="167"/>
      <c r="BC38" s="167"/>
      <c r="BD38" s="167"/>
      <c r="BE38" s="167"/>
      <c r="BF38" s="167"/>
      <c r="BG38" s="167"/>
      <c r="BH38" s="167"/>
      <c r="BI38" s="167"/>
      <c r="BJ38" s="167"/>
      <c r="BK38" s="167"/>
      <c r="BL38" s="167"/>
      <c r="BM38" s="167"/>
      <c r="BN38" s="167"/>
      <c r="BO38" s="167"/>
      <c r="BP38" s="5"/>
      <c r="BQ38" s="5"/>
      <c r="BR38" s="41"/>
      <c r="BS38" s="43"/>
      <c r="BT38" s="43"/>
      <c r="BU38" s="43"/>
      <c r="BV38" s="43"/>
      <c r="BW38" s="43"/>
      <c r="BX38" s="43"/>
    </row>
    <row r="39" spans="1:76" ht="15" customHeight="1" x14ac:dyDescent="0.3">
      <c r="A39" s="167"/>
      <c r="B39" s="167"/>
      <c r="C39" s="167"/>
      <c r="D39" s="167"/>
      <c r="E39" s="167"/>
      <c r="F39" s="167"/>
      <c r="G39" s="167"/>
      <c r="H39" s="167"/>
      <c r="I39" s="167"/>
      <c r="J39" s="167"/>
      <c r="K39" s="167"/>
      <c r="L39" s="167"/>
      <c r="M39" s="167"/>
      <c r="N39" s="167"/>
      <c r="O39" s="167"/>
      <c r="P39" s="167"/>
      <c r="Q39" s="167"/>
      <c r="R39" s="167"/>
      <c r="S39" s="167"/>
      <c r="T39" s="167"/>
      <c r="U39" s="167"/>
      <c r="V39" s="167"/>
      <c r="W39" s="167"/>
      <c r="X39" s="167"/>
      <c r="Y39" s="167"/>
      <c r="Z39" s="167"/>
      <c r="AA39" s="167"/>
      <c r="AB39" s="167"/>
      <c r="AC39" s="167"/>
      <c r="AD39" s="167"/>
      <c r="AE39" s="167"/>
      <c r="AF39" s="167"/>
      <c r="AG39" s="167"/>
      <c r="AH39" s="167"/>
      <c r="AI39" s="167"/>
      <c r="AJ39" s="167"/>
      <c r="AK39" s="167"/>
      <c r="AL39" s="167"/>
      <c r="AM39" s="167"/>
      <c r="AN39" s="167"/>
      <c r="AO39" s="167"/>
      <c r="AP39" s="167"/>
      <c r="AQ39" s="167"/>
      <c r="AR39" s="167"/>
      <c r="AS39" s="167"/>
      <c r="AT39" s="167"/>
      <c r="AU39" s="167"/>
      <c r="AV39" s="167"/>
      <c r="AW39" s="167"/>
      <c r="AX39" s="167"/>
      <c r="AY39" s="167"/>
      <c r="AZ39" s="167"/>
      <c r="BA39" s="167"/>
      <c r="BB39" s="167"/>
      <c r="BC39" s="167"/>
      <c r="BD39" s="167"/>
      <c r="BE39" s="167"/>
      <c r="BF39" s="167"/>
      <c r="BG39" s="167"/>
      <c r="BH39" s="167"/>
      <c r="BI39" s="167"/>
      <c r="BJ39" s="167"/>
      <c r="BK39" s="167"/>
      <c r="BL39" s="167"/>
      <c r="BM39" s="167"/>
      <c r="BN39" s="167"/>
      <c r="BO39" s="167"/>
      <c r="BP39" s="5"/>
      <c r="BQ39" s="5"/>
      <c r="BR39" s="41"/>
      <c r="BS39" s="43"/>
      <c r="BT39" s="43"/>
      <c r="BU39" s="43"/>
      <c r="BV39" s="43"/>
      <c r="BW39" s="43"/>
      <c r="BX39" s="43"/>
    </row>
    <row r="40" spans="1:76" ht="15.6" x14ac:dyDescent="0.3">
      <c r="A40" s="5"/>
      <c r="B40" s="5"/>
      <c r="C40" s="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5"/>
      <c r="AJ40" s="5"/>
      <c r="AK40" s="5"/>
      <c r="AL40" s="5"/>
      <c r="AM40" s="5"/>
      <c r="AN40" s="5"/>
      <c r="AO40" s="5"/>
      <c r="AP40" s="5"/>
      <c r="AQ40" s="5"/>
      <c r="AR40" s="5"/>
      <c r="AS40" s="5"/>
      <c r="AT40" s="5"/>
      <c r="AU40" s="5"/>
      <c r="AV40" s="5"/>
      <c r="AW40" s="5"/>
      <c r="AX40" s="5"/>
      <c r="AY40" s="5"/>
      <c r="AZ40" s="5"/>
      <c r="BA40" s="5"/>
      <c r="BB40" s="5"/>
      <c r="BC40" s="5"/>
      <c r="BD40" s="5"/>
      <c r="BE40" s="5"/>
      <c r="BF40" s="5"/>
      <c r="BG40" s="5"/>
      <c r="BH40" s="5"/>
      <c r="BI40" s="5"/>
      <c r="BJ40" s="5"/>
      <c r="BK40" s="5"/>
      <c r="BL40" s="5"/>
      <c r="BM40" s="5"/>
      <c r="BN40" s="5"/>
      <c r="BO40" s="5"/>
      <c r="BP40" s="5"/>
      <c r="BQ40" s="5"/>
      <c r="BR40" s="5"/>
      <c r="BS40" s="5"/>
      <c r="BT40" s="5"/>
      <c r="BU40" s="5"/>
      <c r="BV40" s="5"/>
      <c r="BW40" s="43"/>
      <c r="BX40" s="43"/>
    </row>
    <row r="41" spans="1:76" ht="15.6" x14ac:dyDescent="0.3">
      <c r="A41" s="124" t="s">
        <v>33</v>
      </c>
      <c r="B41" s="124"/>
      <c r="C41" s="124"/>
      <c r="D41" s="124"/>
      <c r="E41" s="124"/>
      <c r="F41" s="124"/>
      <c r="G41" s="124"/>
      <c r="H41" s="124"/>
      <c r="I41" s="124"/>
      <c r="J41" s="124"/>
      <c r="K41" s="124"/>
      <c r="L41" s="124"/>
      <c r="M41" s="124"/>
      <c r="N41" s="124"/>
      <c r="O41" s="124"/>
      <c r="P41" s="124"/>
      <c r="Q41" s="124"/>
      <c r="R41" s="124"/>
      <c r="S41" s="124"/>
      <c r="T41" s="124"/>
      <c r="U41" s="124"/>
      <c r="V41" s="124"/>
      <c r="W41" s="124"/>
      <c r="X41" s="124"/>
      <c r="Y41" s="124"/>
      <c r="Z41" s="124"/>
      <c r="AA41" s="124"/>
      <c r="AB41" s="124"/>
      <c r="AC41" s="124"/>
      <c r="AD41" s="124"/>
      <c r="AE41" s="124"/>
      <c r="AF41" s="124"/>
      <c r="AG41" s="124"/>
      <c r="AH41" s="124"/>
      <c r="AI41" s="124"/>
      <c r="AJ41" s="124"/>
      <c r="AK41" s="124"/>
      <c r="AL41" s="124"/>
      <c r="AM41" s="124"/>
      <c r="AN41" s="124"/>
      <c r="AO41" s="124"/>
      <c r="AP41" s="124"/>
      <c r="AQ41" s="124"/>
      <c r="AR41" s="124"/>
      <c r="AS41" s="124"/>
      <c r="AT41" s="124"/>
      <c r="AU41" s="124"/>
      <c r="AV41" s="124"/>
      <c r="AW41" s="124"/>
      <c r="AX41" s="124"/>
      <c r="AY41" s="124"/>
      <c r="AZ41" s="124"/>
      <c r="BA41" s="124"/>
      <c r="BB41" s="124"/>
      <c r="BC41" s="124"/>
      <c r="BD41" s="124"/>
      <c r="BE41" s="124"/>
      <c r="BF41" s="124"/>
      <c r="BG41" s="124"/>
      <c r="BH41" s="124"/>
      <c r="BI41" s="124"/>
      <c r="BJ41" s="124"/>
      <c r="BK41" s="124"/>
      <c r="BL41" s="124"/>
      <c r="BM41" s="124"/>
      <c r="BN41" s="124"/>
      <c r="BO41" s="124"/>
      <c r="BP41" s="124"/>
      <c r="BQ41" s="124"/>
      <c r="BR41" s="124"/>
      <c r="BS41" s="124"/>
      <c r="BT41" s="124"/>
      <c r="BU41" s="124"/>
      <c r="BV41" s="124"/>
      <c r="BW41" s="43"/>
      <c r="BX41" s="43"/>
    </row>
    <row r="42" spans="1:76" ht="13.5" customHeight="1" x14ac:dyDescent="0.3">
      <c r="A42" s="41"/>
      <c r="B42" s="41"/>
      <c r="C42" s="41"/>
      <c r="D42" s="41"/>
      <c r="E42" s="41"/>
      <c r="F42" s="41"/>
      <c r="G42" s="41"/>
      <c r="H42" s="41"/>
      <c r="I42" s="41"/>
      <c r="J42" s="41"/>
      <c r="K42" s="41"/>
      <c r="L42" s="41"/>
      <c r="M42" s="41"/>
      <c r="N42" s="41"/>
      <c r="O42" s="41"/>
      <c r="P42" s="41"/>
      <c r="Q42" s="41"/>
      <c r="R42" s="41"/>
      <c r="S42" s="41"/>
      <c r="T42" s="41"/>
      <c r="U42" s="41"/>
      <c r="V42" s="41"/>
      <c r="W42" s="41"/>
      <c r="X42" s="41"/>
      <c r="Y42" s="41"/>
      <c r="Z42" s="41"/>
      <c r="AA42" s="41"/>
      <c r="AB42" s="41"/>
      <c r="AC42" s="41"/>
      <c r="AD42" s="41"/>
      <c r="AE42" s="41"/>
      <c r="AF42" s="41"/>
      <c r="AG42" s="41"/>
      <c r="AH42" s="41"/>
      <c r="AI42" s="41"/>
      <c r="AJ42" s="41"/>
      <c r="AK42" s="41"/>
      <c r="AL42" s="41"/>
      <c r="AM42" s="41"/>
      <c r="AN42" s="41"/>
      <c r="AO42" s="41"/>
      <c r="AP42" s="41"/>
      <c r="AQ42" s="41"/>
      <c r="AR42" s="41"/>
      <c r="AS42" s="41"/>
      <c r="AT42" s="41"/>
      <c r="AU42" s="41"/>
      <c r="AV42" s="41"/>
      <c r="AW42" s="41"/>
      <c r="AX42" s="41"/>
      <c r="AY42" s="41"/>
      <c r="AZ42" s="41"/>
      <c r="BA42" s="41"/>
      <c r="BB42" s="41"/>
      <c r="BC42" s="41"/>
      <c r="BD42" s="41"/>
      <c r="BE42" s="41"/>
      <c r="BF42" s="41"/>
      <c r="BG42" s="41"/>
      <c r="BH42" s="41"/>
      <c r="BI42" s="41"/>
      <c r="BJ42" s="41"/>
      <c r="BK42" s="41"/>
      <c r="BL42" s="41"/>
      <c r="BM42" s="41"/>
      <c r="BN42" s="41"/>
      <c r="BO42" s="41"/>
      <c r="BP42" s="41"/>
      <c r="BQ42" s="41"/>
      <c r="BR42" s="41"/>
      <c r="BS42" s="41"/>
      <c r="BT42" s="41"/>
      <c r="BU42" s="41"/>
      <c r="BV42" s="41"/>
      <c r="BW42" s="43"/>
      <c r="BX42" s="43"/>
    </row>
    <row r="43" spans="1:76" ht="13.5" customHeight="1" x14ac:dyDescent="0.3">
      <c r="A43" s="5" t="s">
        <v>101</v>
      </c>
      <c r="B43" s="5"/>
      <c r="C43" s="43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5"/>
      <c r="AO43" s="5"/>
      <c r="AP43" s="5"/>
      <c r="AQ43" s="5"/>
      <c r="AR43" s="5"/>
      <c r="AS43" s="5"/>
      <c r="AT43" s="5"/>
      <c r="AU43" s="5"/>
      <c r="AV43" s="5"/>
      <c r="AW43" s="5"/>
      <c r="AX43" s="5"/>
      <c r="AY43" s="5"/>
      <c r="AZ43" s="5"/>
      <c r="BA43" s="5"/>
      <c r="BB43" s="5"/>
      <c r="BC43" s="5"/>
      <c r="BD43" s="5"/>
      <c r="BE43" s="5"/>
      <c r="BF43" s="5"/>
      <c r="BG43" s="5"/>
      <c r="BH43" s="5"/>
      <c r="BI43" s="5"/>
      <c r="BJ43" s="5"/>
      <c r="BK43" s="5"/>
      <c r="BL43" s="5"/>
      <c r="BM43" s="5"/>
      <c r="BN43" s="5"/>
      <c r="BO43" s="5"/>
      <c r="BP43" s="5"/>
      <c r="BQ43" s="5"/>
      <c r="BR43" s="41"/>
      <c r="BS43" s="43"/>
      <c r="BT43" s="43"/>
      <c r="BU43" s="43"/>
      <c r="BV43" s="43"/>
      <c r="BW43" s="43"/>
      <c r="BX43" s="43"/>
    </row>
    <row r="44" spans="1:76" s="33" customFormat="1" ht="13.5" customHeight="1" x14ac:dyDescent="0.3">
      <c r="A44" s="5" t="s">
        <v>102</v>
      </c>
      <c r="B44" s="5"/>
      <c r="C44" s="43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  <c r="BB44" s="5"/>
      <c r="BC44" s="5"/>
      <c r="BD44" s="5"/>
      <c r="BE44" s="5"/>
      <c r="BF44" s="5"/>
      <c r="BG44" s="5"/>
      <c r="BH44" s="5"/>
      <c r="BI44" s="5"/>
      <c r="BJ44" s="5"/>
      <c r="BK44" s="5"/>
      <c r="BL44" s="5"/>
      <c r="BM44" s="5"/>
      <c r="BN44" s="5"/>
      <c r="BO44" s="5"/>
      <c r="BP44" s="5"/>
      <c r="BQ44" s="5"/>
      <c r="BR44" s="41"/>
      <c r="BS44" s="43"/>
      <c r="BT44" s="43"/>
      <c r="BU44" s="43"/>
      <c r="BV44" s="43"/>
      <c r="BW44" s="43"/>
      <c r="BX44" s="43"/>
    </row>
    <row r="45" spans="1:76" s="60" customFormat="1" ht="13.5" customHeight="1" x14ac:dyDescent="0.3">
      <c r="A45" s="5" t="s">
        <v>103</v>
      </c>
      <c r="B45" s="5"/>
      <c r="C45" s="43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5"/>
      <c r="AJ45" s="5"/>
      <c r="AK45" s="5"/>
      <c r="AL45" s="5"/>
      <c r="AM45" s="5"/>
      <c r="AN45" s="5"/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  <c r="BA45" s="5"/>
      <c r="BB45" s="5"/>
      <c r="BC45" s="5"/>
      <c r="BD45" s="5"/>
      <c r="BE45" s="5"/>
      <c r="BF45" s="5"/>
      <c r="BG45" s="5"/>
      <c r="BH45" s="5"/>
      <c r="BI45" s="5"/>
      <c r="BJ45" s="5"/>
      <c r="BK45" s="5"/>
      <c r="BL45" s="5"/>
      <c r="BM45" s="5"/>
      <c r="BN45" s="5"/>
      <c r="BO45" s="5"/>
      <c r="BP45" s="5"/>
      <c r="BQ45" s="5"/>
      <c r="BR45" s="41"/>
      <c r="BS45" s="43"/>
      <c r="BT45" s="43"/>
      <c r="BU45" s="43"/>
      <c r="BV45" s="43"/>
      <c r="BW45" s="43"/>
      <c r="BX45" s="43"/>
    </row>
    <row r="46" spans="1:76" ht="13.5" customHeight="1" x14ac:dyDescent="0.3">
      <c r="A46" s="5" t="s">
        <v>84</v>
      </c>
      <c r="B46" s="5"/>
      <c r="C46" s="43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5"/>
      <c r="AQ46" s="5"/>
      <c r="AR46" s="5"/>
      <c r="AS46" s="5"/>
      <c r="AT46" s="5"/>
      <c r="AU46" s="5"/>
      <c r="AV46" s="5"/>
      <c r="AW46" s="5"/>
      <c r="AX46" s="5"/>
      <c r="AY46" s="5"/>
      <c r="AZ46" s="5"/>
      <c r="BA46" s="5"/>
      <c r="BB46" s="5"/>
      <c r="BC46" s="5"/>
      <c r="BD46" s="5"/>
      <c r="BE46" s="5"/>
      <c r="BF46" s="5"/>
      <c r="BG46" s="5"/>
      <c r="BH46" s="41"/>
      <c r="BI46" s="41"/>
      <c r="BJ46" s="41"/>
      <c r="BK46" s="41"/>
      <c r="BL46" s="41"/>
      <c r="BM46" s="41"/>
      <c r="BN46" s="41"/>
      <c r="BO46" s="41"/>
      <c r="BP46" s="41"/>
      <c r="BQ46" s="41"/>
      <c r="BR46" s="41"/>
      <c r="BS46" s="43"/>
      <c r="BT46" s="43"/>
      <c r="BU46" s="43"/>
      <c r="BV46" s="43"/>
      <c r="BW46" s="43"/>
      <c r="BX46" s="43"/>
    </row>
    <row r="47" spans="1:76" ht="29.25" customHeight="1" x14ac:dyDescent="0.3">
      <c r="A47" s="41"/>
      <c r="B47" s="43"/>
      <c r="C47" s="43"/>
      <c r="D47" s="43"/>
      <c r="E47" s="43"/>
      <c r="F47" s="43"/>
      <c r="G47" s="43"/>
      <c r="H47" s="43"/>
      <c r="I47" s="43"/>
      <c r="J47" s="43"/>
      <c r="K47" s="43"/>
      <c r="L47" s="43"/>
      <c r="M47" s="43"/>
      <c r="N47" s="43"/>
      <c r="O47" s="43"/>
      <c r="P47" s="43"/>
      <c r="Q47" s="43"/>
      <c r="R47" s="43"/>
      <c r="S47" s="43"/>
      <c r="T47" s="43"/>
      <c r="U47" s="43"/>
      <c r="V47" s="43"/>
      <c r="W47" s="43"/>
      <c r="X47" s="43"/>
      <c r="Y47" s="43"/>
      <c r="Z47" s="43"/>
      <c r="AA47" s="43"/>
      <c r="AB47" s="43"/>
      <c r="AC47" s="43"/>
      <c r="AD47" s="43"/>
      <c r="AE47" s="43"/>
      <c r="AF47" s="43"/>
      <c r="AG47" s="43"/>
      <c r="AH47" s="43"/>
      <c r="AI47" s="43"/>
      <c r="AJ47" s="43"/>
      <c r="AK47" s="43"/>
      <c r="AL47" s="43"/>
      <c r="AM47" s="43"/>
      <c r="AN47" s="43"/>
      <c r="AO47" s="43"/>
      <c r="AP47" s="43"/>
      <c r="AQ47" s="43"/>
      <c r="AR47" s="43"/>
      <c r="AS47" s="43"/>
      <c r="AT47" s="43"/>
      <c r="AU47" s="43"/>
      <c r="AV47" s="43"/>
      <c r="AW47" s="43"/>
      <c r="AX47" s="43"/>
      <c r="AY47" s="43"/>
      <c r="AZ47" s="43"/>
      <c r="BA47" s="43"/>
      <c r="BB47" s="43"/>
      <c r="BC47" s="43"/>
      <c r="BD47" s="43"/>
      <c r="BE47" s="43"/>
      <c r="BF47" s="43"/>
      <c r="BG47" s="43"/>
      <c r="BH47" s="43"/>
      <c r="BI47" s="43"/>
      <c r="BJ47" s="43"/>
      <c r="BK47" s="43"/>
      <c r="BL47" s="43"/>
      <c r="BM47" s="43"/>
      <c r="BN47" s="43"/>
      <c r="BO47" s="43"/>
      <c r="BP47" s="43"/>
      <c r="BQ47" s="43"/>
      <c r="BR47" s="43"/>
      <c r="BS47" s="43"/>
      <c r="BT47" s="43"/>
      <c r="BU47" s="43"/>
      <c r="BV47" s="43"/>
      <c r="BW47" s="43"/>
      <c r="BX47" s="43"/>
    </row>
    <row r="48" spans="1:76" ht="13.5" customHeight="1" x14ac:dyDescent="0.3">
      <c r="A48" s="5"/>
      <c r="B48" s="141" t="s">
        <v>7</v>
      </c>
      <c r="C48" s="142"/>
      <c r="D48" s="142"/>
      <c r="E48" s="142"/>
      <c r="F48" s="142"/>
      <c r="G48" s="142"/>
      <c r="H48" s="142"/>
      <c r="I48" s="142"/>
      <c r="J48" s="142"/>
      <c r="K48" s="142"/>
      <c r="L48" s="142"/>
      <c r="M48" s="142"/>
      <c r="N48" s="142"/>
      <c r="O48" s="142"/>
      <c r="P48" s="142"/>
      <c r="Q48" s="142"/>
      <c r="R48" s="142"/>
      <c r="S48" s="142"/>
      <c r="T48" s="142"/>
      <c r="U48" s="143"/>
      <c r="V48" s="141" t="s">
        <v>3</v>
      </c>
      <c r="W48" s="142"/>
      <c r="X48" s="142"/>
      <c r="Y48" s="142"/>
      <c r="Z48" s="142"/>
      <c r="AA48" s="142"/>
      <c r="AB48" s="142"/>
      <c r="AC48" s="142"/>
      <c r="AD48" s="142"/>
      <c r="AE48" s="142"/>
      <c r="AF48" s="142"/>
      <c r="AG48" s="142"/>
      <c r="AH48" s="142"/>
      <c r="AI48" s="142"/>
      <c r="AJ48" s="142"/>
      <c r="AK48" s="142"/>
      <c r="AL48" s="142"/>
      <c r="AM48" s="142"/>
      <c r="AN48" s="142"/>
      <c r="AO48" s="142"/>
      <c r="AP48" s="142"/>
      <c r="AQ48" s="142"/>
      <c r="AR48" s="142"/>
      <c r="AS48" s="142"/>
      <c r="AT48" s="142"/>
      <c r="AU48" s="142"/>
      <c r="AV48" s="142"/>
      <c r="AW48" s="142"/>
      <c r="AX48" s="142"/>
      <c r="AY48" s="142"/>
      <c r="AZ48" s="142"/>
      <c r="BA48" s="142"/>
      <c r="BB48" s="142"/>
      <c r="BC48" s="142"/>
      <c r="BD48" s="142"/>
      <c r="BE48" s="142"/>
      <c r="BF48" s="142"/>
      <c r="BG48" s="142"/>
      <c r="BH48" s="142"/>
      <c r="BI48" s="142"/>
      <c r="BJ48" s="142"/>
      <c r="BK48" s="142"/>
      <c r="BL48" s="142"/>
      <c r="BM48" s="142"/>
      <c r="BN48" s="142"/>
      <c r="BO48" s="142"/>
      <c r="BP48" s="142"/>
      <c r="BQ48" s="142"/>
      <c r="BR48" s="142"/>
      <c r="BS48" s="142"/>
      <c r="BT48" s="142"/>
      <c r="BU48" s="143"/>
      <c r="BV48" s="43"/>
      <c r="BW48" s="43"/>
      <c r="BX48" s="43"/>
    </row>
    <row r="49" spans="1:76" ht="13.5" customHeight="1" x14ac:dyDescent="0.3">
      <c r="A49" s="43"/>
      <c r="B49" s="177"/>
      <c r="C49" s="178"/>
      <c r="D49" s="178"/>
      <c r="E49" s="178"/>
      <c r="F49" s="178"/>
      <c r="G49" s="178"/>
      <c r="H49" s="178"/>
      <c r="I49" s="178"/>
      <c r="J49" s="178"/>
      <c r="K49" s="178"/>
      <c r="L49" s="178"/>
      <c r="M49" s="178"/>
      <c r="N49" s="178"/>
      <c r="O49" s="178"/>
      <c r="P49" s="178"/>
      <c r="Q49" s="178"/>
      <c r="R49" s="178"/>
      <c r="S49" s="178"/>
      <c r="T49" s="178"/>
      <c r="U49" s="179"/>
      <c r="V49" s="144"/>
      <c r="W49" s="145"/>
      <c r="X49" s="145"/>
      <c r="Y49" s="145"/>
      <c r="Z49" s="145"/>
      <c r="AA49" s="145"/>
      <c r="AB49" s="145"/>
      <c r="AC49" s="145"/>
      <c r="AD49" s="145"/>
      <c r="AE49" s="145"/>
      <c r="AF49" s="145"/>
      <c r="AG49" s="145"/>
      <c r="AH49" s="145"/>
      <c r="AI49" s="145"/>
      <c r="AJ49" s="145"/>
      <c r="AK49" s="145"/>
      <c r="AL49" s="145"/>
      <c r="AM49" s="145"/>
      <c r="AN49" s="145"/>
      <c r="AO49" s="145"/>
      <c r="AP49" s="145"/>
      <c r="AQ49" s="145"/>
      <c r="AR49" s="145"/>
      <c r="AS49" s="145"/>
      <c r="AT49" s="145"/>
      <c r="AU49" s="145"/>
      <c r="AV49" s="145"/>
      <c r="AW49" s="145"/>
      <c r="AX49" s="145"/>
      <c r="AY49" s="145"/>
      <c r="AZ49" s="145"/>
      <c r="BA49" s="145"/>
      <c r="BB49" s="145"/>
      <c r="BC49" s="145"/>
      <c r="BD49" s="145"/>
      <c r="BE49" s="145"/>
      <c r="BF49" s="145"/>
      <c r="BG49" s="145"/>
      <c r="BH49" s="145"/>
      <c r="BI49" s="145"/>
      <c r="BJ49" s="145"/>
      <c r="BK49" s="145"/>
      <c r="BL49" s="145"/>
      <c r="BM49" s="145"/>
      <c r="BN49" s="145"/>
      <c r="BO49" s="145"/>
      <c r="BP49" s="145"/>
      <c r="BQ49" s="145"/>
      <c r="BR49" s="145"/>
      <c r="BS49" s="145"/>
      <c r="BT49" s="145"/>
      <c r="BU49" s="146"/>
      <c r="BV49" s="43"/>
      <c r="BW49" s="43"/>
      <c r="BX49" s="43"/>
    </row>
    <row r="50" spans="1:76" ht="13.5" customHeight="1" x14ac:dyDescent="0.3">
      <c r="A50" s="43"/>
      <c r="B50" s="177"/>
      <c r="C50" s="178"/>
      <c r="D50" s="178"/>
      <c r="E50" s="178"/>
      <c r="F50" s="178"/>
      <c r="G50" s="178"/>
      <c r="H50" s="178"/>
      <c r="I50" s="178"/>
      <c r="J50" s="178"/>
      <c r="K50" s="178"/>
      <c r="L50" s="178"/>
      <c r="M50" s="178"/>
      <c r="N50" s="178"/>
      <c r="O50" s="178"/>
      <c r="P50" s="178"/>
      <c r="Q50" s="178"/>
      <c r="R50" s="178"/>
      <c r="S50" s="178"/>
      <c r="T50" s="178"/>
      <c r="U50" s="179"/>
      <c r="V50" s="105" t="s">
        <v>4</v>
      </c>
      <c r="W50" s="106"/>
      <c r="X50" s="106"/>
      <c r="Y50" s="106"/>
      <c r="Z50" s="106"/>
      <c r="AA50" s="106"/>
      <c r="AB50" s="107"/>
      <c r="AC50" s="104" t="s">
        <v>88</v>
      </c>
      <c r="AD50" s="104"/>
      <c r="AE50" s="104"/>
      <c r="AF50" s="104"/>
      <c r="AG50" s="104"/>
      <c r="AH50" s="104"/>
      <c r="AI50" s="104"/>
      <c r="AJ50" s="163" t="s">
        <v>72</v>
      </c>
      <c r="AK50" s="164"/>
      <c r="AL50" s="164"/>
      <c r="AM50" s="164"/>
      <c r="AN50" s="164"/>
      <c r="AO50" s="164"/>
      <c r="AP50" s="164"/>
      <c r="AQ50" s="164"/>
      <c r="AR50" s="164"/>
      <c r="AS50" s="164"/>
      <c r="AT50" s="164"/>
      <c r="AU50" s="164"/>
      <c r="AV50" s="165"/>
      <c r="AW50" s="105" t="s">
        <v>212</v>
      </c>
      <c r="AX50" s="106"/>
      <c r="AY50" s="106"/>
      <c r="AZ50" s="106"/>
      <c r="BA50" s="106"/>
      <c r="BB50" s="106"/>
      <c r="BC50" s="107"/>
      <c r="BD50" s="104" t="s">
        <v>89</v>
      </c>
      <c r="BE50" s="104"/>
      <c r="BF50" s="104"/>
      <c r="BG50" s="104"/>
      <c r="BH50" s="104"/>
      <c r="BI50" s="104"/>
      <c r="BJ50" s="104"/>
      <c r="BK50" s="104" t="s">
        <v>5</v>
      </c>
      <c r="BL50" s="104"/>
      <c r="BM50" s="104"/>
      <c r="BN50" s="104"/>
      <c r="BO50" s="104"/>
      <c r="BP50" s="104"/>
      <c r="BQ50" s="168" t="s">
        <v>6</v>
      </c>
      <c r="BR50" s="169"/>
      <c r="BS50" s="169"/>
      <c r="BT50" s="169"/>
      <c r="BU50" s="170"/>
      <c r="BV50" s="43"/>
      <c r="BW50" s="43"/>
      <c r="BX50" s="43"/>
    </row>
    <row r="51" spans="1:76" s="60" customFormat="1" ht="10.5" customHeight="1" x14ac:dyDescent="0.3">
      <c r="A51" s="43"/>
      <c r="B51" s="177"/>
      <c r="C51" s="178"/>
      <c r="D51" s="178"/>
      <c r="E51" s="178"/>
      <c r="F51" s="178"/>
      <c r="G51" s="178"/>
      <c r="H51" s="178"/>
      <c r="I51" s="178"/>
      <c r="J51" s="178"/>
      <c r="K51" s="178"/>
      <c r="L51" s="178"/>
      <c r="M51" s="178"/>
      <c r="N51" s="178"/>
      <c r="O51" s="178"/>
      <c r="P51" s="178"/>
      <c r="Q51" s="178"/>
      <c r="R51" s="178"/>
      <c r="S51" s="178"/>
      <c r="T51" s="178"/>
      <c r="U51" s="179"/>
      <c r="V51" s="108"/>
      <c r="W51" s="109"/>
      <c r="X51" s="109"/>
      <c r="Y51" s="109"/>
      <c r="Z51" s="109"/>
      <c r="AA51" s="109"/>
      <c r="AB51" s="110"/>
      <c r="AC51" s="104"/>
      <c r="AD51" s="104"/>
      <c r="AE51" s="104"/>
      <c r="AF51" s="104"/>
      <c r="AG51" s="104"/>
      <c r="AH51" s="104"/>
      <c r="AI51" s="104"/>
      <c r="AJ51" s="105" t="s">
        <v>85</v>
      </c>
      <c r="AK51" s="106"/>
      <c r="AL51" s="106"/>
      <c r="AM51" s="106"/>
      <c r="AN51" s="106"/>
      <c r="AO51" s="106"/>
      <c r="AP51" s="107"/>
      <c r="AQ51" s="105" t="s">
        <v>86</v>
      </c>
      <c r="AR51" s="106"/>
      <c r="AS51" s="106"/>
      <c r="AT51" s="106"/>
      <c r="AU51" s="106"/>
      <c r="AV51" s="107"/>
      <c r="AW51" s="108"/>
      <c r="AX51" s="109"/>
      <c r="AY51" s="109"/>
      <c r="AZ51" s="109"/>
      <c r="BA51" s="109"/>
      <c r="BB51" s="109"/>
      <c r="BC51" s="110"/>
      <c r="BD51" s="104"/>
      <c r="BE51" s="104"/>
      <c r="BF51" s="104"/>
      <c r="BG51" s="104"/>
      <c r="BH51" s="104"/>
      <c r="BI51" s="104"/>
      <c r="BJ51" s="104"/>
      <c r="BK51" s="104"/>
      <c r="BL51" s="104"/>
      <c r="BM51" s="104"/>
      <c r="BN51" s="104"/>
      <c r="BO51" s="104"/>
      <c r="BP51" s="104"/>
      <c r="BQ51" s="171"/>
      <c r="BR51" s="172"/>
      <c r="BS51" s="172"/>
      <c r="BT51" s="172"/>
      <c r="BU51" s="173"/>
      <c r="BV51" s="43"/>
      <c r="BW51" s="43"/>
      <c r="BX51" s="43"/>
    </row>
    <row r="52" spans="1:76" s="65" customFormat="1" ht="22.2" customHeight="1" x14ac:dyDescent="0.3">
      <c r="A52" s="93"/>
      <c r="B52" s="144"/>
      <c r="C52" s="145"/>
      <c r="D52" s="145"/>
      <c r="E52" s="145"/>
      <c r="F52" s="145"/>
      <c r="G52" s="145"/>
      <c r="H52" s="145"/>
      <c r="I52" s="145"/>
      <c r="J52" s="145"/>
      <c r="K52" s="145"/>
      <c r="L52" s="145"/>
      <c r="M52" s="145"/>
      <c r="N52" s="145"/>
      <c r="O52" s="145"/>
      <c r="P52" s="145"/>
      <c r="Q52" s="145"/>
      <c r="R52" s="145"/>
      <c r="S52" s="145"/>
      <c r="T52" s="145"/>
      <c r="U52" s="146"/>
      <c r="V52" s="111"/>
      <c r="W52" s="112"/>
      <c r="X52" s="112"/>
      <c r="Y52" s="112"/>
      <c r="Z52" s="112"/>
      <c r="AA52" s="112"/>
      <c r="AB52" s="113"/>
      <c r="AC52" s="104"/>
      <c r="AD52" s="104"/>
      <c r="AE52" s="104"/>
      <c r="AF52" s="104"/>
      <c r="AG52" s="104"/>
      <c r="AH52" s="104"/>
      <c r="AI52" s="104"/>
      <c r="AJ52" s="111"/>
      <c r="AK52" s="112"/>
      <c r="AL52" s="112"/>
      <c r="AM52" s="112"/>
      <c r="AN52" s="112"/>
      <c r="AO52" s="112"/>
      <c r="AP52" s="113"/>
      <c r="AQ52" s="111"/>
      <c r="AR52" s="112"/>
      <c r="AS52" s="112"/>
      <c r="AT52" s="112"/>
      <c r="AU52" s="112"/>
      <c r="AV52" s="113"/>
      <c r="AW52" s="111"/>
      <c r="AX52" s="112"/>
      <c r="AY52" s="112"/>
      <c r="AZ52" s="112"/>
      <c r="BA52" s="112"/>
      <c r="BB52" s="112"/>
      <c r="BC52" s="113"/>
      <c r="BD52" s="104"/>
      <c r="BE52" s="104"/>
      <c r="BF52" s="104"/>
      <c r="BG52" s="104"/>
      <c r="BH52" s="104"/>
      <c r="BI52" s="104"/>
      <c r="BJ52" s="104"/>
      <c r="BK52" s="104"/>
      <c r="BL52" s="104"/>
      <c r="BM52" s="104"/>
      <c r="BN52" s="104"/>
      <c r="BO52" s="104"/>
      <c r="BP52" s="104"/>
      <c r="BQ52" s="174"/>
      <c r="BR52" s="175"/>
      <c r="BS52" s="175"/>
      <c r="BT52" s="175"/>
      <c r="BU52" s="176"/>
      <c r="BV52" s="93"/>
      <c r="BW52" s="93"/>
      <c r="BX52" s="93"/>
    </row>
    <row r="53" spans="1:76" ht="59.25" customHeight="1" x14ac:dyDescent="0.3">
      <c r="A53" s="43"/>
      <c r="B53" s="105" t="s">
        <v>73</v>
      </c>
      <c r="C53" s="106"/>
      <c r="D53" s="106"/>
      <c r="E53" s="106"/>
      <c r="F53" s="106"/>
      <c r="G53" s="106"/>
      <c r="H53" s="106"/>
      <c r="I53" s="106"/>
      <c r="J53" s="106"/>
      <c r="K53" s="106"/>
      <c r="L53" s="106"/>
      <c r="M53" s="106"/>
      <c r="N53" s="106"/>
      <c r="O53" s="82"/>
      <c r="P53" s="82"/>
      <c r="Q53" s="82"/>
      <c r="R53" s="82"/>
      <c r="S53" s="82"/>
      <c r="T53" s="82"/>
      <c r="U53" s="83"/>
      <c r="V53" s="189" t="s">
        <v>90</v>
      </c>
      <c r="W53" s="190"/>
      <c r="X53" s="190"/>
      <c r="Y53" s="190"/>
      <c r="Z53" s="190"/>
      <c r="AA53" s="190"/>
      <c r="AB53" s="191"/>
      <c r="AC53" s="128">
        <f ca="1">IF($V$53="В",ROUND(RANDBETWEEN(30,33)/1000,3),IF($V$53="А",ROUND(RANDBETWEEN(60,66)/1000,3),"буква"))</f>
        <v>3.1E-2</v>
      </c>
      <c r="AD53" s="129"/>
      <c r="AE53" s="129"/>
      <c r="AF53" s="129"/>
      <c r="AG53" s="129"/>
      <c r="AH53" s="129"/>
      <c r="AI53" s="130"/>
      <c r="AJ53" s="199" t="str">
        <f>Данные!B6</f>
        <v>703,242</v>
      </c>
      <c r="AK53" s="199"/>
      <c r="AL53" s="199"/>
      <c r="AM53" s="199"/>
      <c r="AN53" s="199"/>
      <c r="AO53" s="199"/>
      <c r="AP53" s="90"/>
      <c r="AQ53" s="198">
        <f ca="1">AJ53+AW53</f>
        <v>703.24899999999991</v>
      </c>
      <c r="AR53" s="198"/>
      <c r="AS53" s="198"/>
      <c r="AT53" s="198"/>
      <c r="AU53" s="198"/>
      <c r="AV53" s="198"/>
      <c r="AW53" s="128">
        <f ca="1">ROUNDUP(AC53*720/3600,3)</f>
        <v>7.0000000000000001E-3</v>
      </c>
      <c r="AX53" s="129"/>
      <c r="AY53" s="129"/>
      <c r="AZ53" s="129"/>
      <c r="BA53" s="129"/>
      <c r="BB53" s="129"/>
      <c r="BC53" s="130"/>
      <c r="BD53" s="125">
        <f ca="1">AW53+RANDBETWEEN(-2,3)/10000</f>
        <v>6.8000000000000005E-3</v>
      </c>
      <c r="BE53" s="126"/>
      <c r="BF53" s="126"/>
      <c r="BG53" s="126"/>
      <c r="BH53" s="126"/>
      <c r="BI53" s="126"/>
      <c r="BJ53" s="127"/>
      <c r="BK53" s="101">
        <f ca="1">ROUND(((AW53-BD53)/BD53)*100,1)</f>
        <v>2.9</v>
      </c>
      <c r="BL53" s="102"/>
      <c r="BM53" s="102"/>
      <c r="BN53" s="102"/>
      <c r="BO53" s="102"/>
      <c r="BP53" s="103"/>
      <c r="BQ53" s="185" t="s">
        <v>69</v>
      </c>
      <c r="BR53" s="186"/>
      <c r="BS53" s="88"/>
      <c r="BT53" s="136">
        <v>5</v>
      </c>
      <c r="BU53" s="137"/>
      <c r="BV53" s="43"/>
      <c r="BW53" s="43"/>
      <c r="BX53" s="43"/>
    </row>
    <row r="54" spans="1:76" s="60" customFormat="1" ht="55.5" customHeight="1" x14ac:dyDescent="0.3">
      <c r="A54" s="43"/>
      <c r="B54" s="105" t="s">
        <v>224</v>
      </c>
      <c r="C54" s="106"/>
      <c r="D54" s="106"/>
      <c r="E54" s="106"/>
      <c r="F54" s="106"/>
      <c r="G54" s="106"/>
      <c r="H54" s="106"/>
      <c r="I54" s="106"/>
      <c r="J54" s="106"/>
      <c r="K54" s="106"/>
      <c r="L54" s="106"/>
      <c r="M54" s="106"/>
      <c r="N54" s="106"/>
      <c r="O54" s="94"/>
      <c r="P54" s="94"/>
      <c r="Q54" s="94"/>
      <c r="R54" s="94"/>
      <c r="S54" s="94"/>
      <c r="T54" s="94"/>
      <c r="U54" s="95"/>
      <c r="V54" s="192"/>
      <c r="W54" s="193"/>
      <c r="X54" s="193"/>
      <c r="Y54" s="193"/>
      <c r="Z54" s="193"/>
      <c r="AA54" s="193"/>
      <c r="AB54" s="194"/>
      <c r="AC54" s="128">
        <f ca="1">IF($V$53="А",ROUND(RANDBETWEEN(155,175)/1000,3),IF($V$53="В",ROUND(RANDBETWEEN(125,135)/1000,3),"буква"))</f>
        <v>0.126</v>
      </c>
      <c r="AD54" s="129"/>
      <c r="AE54" s="129"/>
      <c r="AF54" s="129"/>
      <c r="AG54" s="129"/>
      <c r="AH54" s="129"/>
      <c r="AI54" s="130"/>
      <c r="AJ54" s="183">
        <f ca="1">AQ53+RANDBETWEEN(4,7)/1000</f>
        <v>703.25399999999991</v>
      </c>
      <c r="AK54" s="183"/>
      <c r="AL54" s="183"/>
      <c r="AM54" s="183"/>
      <c r="AN54" s="183"/>
      <c r="AO54" s="183"/>
      <c r="AP54" s="90"/>
      <c r="AQ54" s="128">
        <f t="shared" ref="AQ54:AQ55" ca="1" si="0">AJ54+AW54</f>
        <v>703.26699999999994</v>
      </c>
      <c r="AR54" s="129"/>
      <c r="AS54" s="129"/>
      <c r="AT54" s="129"/>
      <c r="AU54" s="129"/>
      <c r="AV54" s="130"/>
      <c r="AW54" s="128">
        <f ca="1">ROUNDUP(AC54*360/3600,3)</f>
        <v>1.3000000000000001E-2</v>
      </c>
      <c r="AX54" s="129"/>
      <c r="AY54" s="129"/>
      <c r="AZ54" s="129"/>
      <c r="BA54" s="129"/>
      <c r="BB54" s="129"/>
      <c r="BC54" s="130"/>
      <c r="BD54" s="125">
        <f ca="1">AW54+RANDBETWEEN(-2,2)/10000</f>
        <v>1.3200000000000002E-2</v>
      </c>
      <c r="BE54" s="126"/>
      <c r="BF54" s="126"/>
      <c r="BG54" s="126"/>
      <c r="BH54" s="126"/>
      <c r="BI54" s="126"/>
      <c r="BJ54" s="127"/>
      <c r="BK54" s="101">
        <f ca="1">ROUND(((AW54-BD54)/BD54)*100,1)</f>
        <v>-1.5</v>
      </c>
      <c r="BL54" s="102"/>
      <c r="BM54" s="102"/>
      <c r="BN54" s="102"/>
      <c r="BO54" s="102"/>
      <c r="BP54" s="103"/>
      <c r="BQ54" s="185" t="s">
        <v>69</v>
      </c>
      <c r="BR54" s="186"/>
      <c r="BS54" s="88"/>
      <c r="BT54" s="136">
        <v>2</v>
      </c>
      <c r="BU54" s="137"/>
      <c r="BV54" s="43"/>
      <c r="BW54" s="43"/>
      <c r="BX54" s="43"/>
    </row>
    <row r="55" spans="1:76" s="60" customFormat="1" ht="45.75" customHeight="1" x14ac:dyDescent="0.3">
      <c r="A55" s="43"/>
      <c r="B55" s="187" t="s">
        <v>74</v>
      </c>
      <c r="C55" s="188"/>
      <c r="D55" s="188"/>
      <c r="E55" s="188"/>
      <c r="F55" s="188"/>
      <c r="G55" s="188"/>
      <c r="H55" s="188"/>
      <c r="I55" s="188"/>
      <c r="J55" s="188"/>
      <c r="K55" s="188"/>
      <c r="L55" s="188"/>
      <c r="M55" s="188"/>
      <c r="N55" s="188"/>
      <c r="O55" s="86"/>
      <c r="P55" s="86"/>
      <c r="Q55" s="86"/>
      <c r="R55" s="86"/>
      <c r="S55" s="86"/>
      <c r="T55" s="86"/>
      <c r="U55" s="87"/>
      <c r="V55" s="195"/>
      <c r="W55" s="196"/>
      <c r="X55" s="196"/>
      <c r="Y55" s="196"/>
      <c r="Z55" s="196"/>
      <c r="AA55" s="196"/>
      <c r="AB55" s="197"/>
      <c r="AC55" s="147">
        <f ca="1">ROUND(RANDBETWEEN(890,960)/1000,3)</f>
        <v>0.91600000000000004</v>
      </c>
      <c r="AD55" s="148"/>
      <c r="AE55" s="148"/>
      <c r="AF55" s="148"/>
      <c r="AG55" s="148"/>
      <c r="AH55" s="148"/>
      <c r="AI55" s="149"/>
      <c r="AJ55" s="183">
        <f ca="1">AQ54+RANDBETWEEN(15,18)/1000</f>
        <v>703.28499999999997</v>
      </c>
      <c r="AK55" s="183"/>
      <c r="AL55" s="183"/>
      <c r="AM55" s="183"/>
      <c r="AN55" s="183"/>
      <c r="AO55" s="183"/>
      <c r="AP55" s="90"/>
      <c r="AQ55" s="128">
        <f t="shared" ca="1" si="0"/>
        <v>703.31599999999992</v>
      </c>
      <c r="AR55" s="129"/>
      <c r="AS55" s="129"/>
      <c r="AT55" s="129"/>
      <c r="AU55" s="129"/>
      <c r="AV55" s="130"/>
      <c r="AW55" s="128">
        <f ca="1">ROUNDUP(AC55*120/3600,3)</f>
        <v>3.1E-2</v>
      </c>
      <c r="AX55" s="129"/>
      <c r="AY55" s="129"/>
      <c r="AZ55" s="129"/>
      <c r="BA55" s="129"/>
      <c r="BB55" s="129"/>
      <c r="BC55" s="130"/>
      <c r="BD55" s="125">
        <f ca="1">AW55+RANDBETWEEN(-5,5)/10000</f>
        <v>3.1199999999999999E-2</v>
      </c>
      <c r="BE55" s="150"/>
      <c r="BF55" s="150"/>
      <c r="BG55" s="150"/>
      <c r="BH55" s="150"/>
      <c r="BI55" s="150"/>
      <c r="BJ55" s="151"/>
      <c r="BK55" s="101">
        <f ca="1">ROUND(((AW55-BD55)/BD55)*100,1)</f>
        <v>-0.6</v>
      </c>
      <c r="BL55" s="131"/>
      <c r="BM55" s="131"/>
      <c r="BN55" s="131"/>
      <c r="BO55" s="131"/>
      <c r="BP55" s="132"/>
      <c r="BQ55" s="185" t="s">
        <v>69</v>
      </c>
      <c r="BR55" s="186"/>
      <c r="BS55" s="85"/>
      <c r="BT55" s="136">
        <v>2</v>
      </c>
      <c r="BU55" s="137"/>
      <c r="BV55" s="43"/>
      <c r="BW55" s="43"/>
      <c r="BX55" s="43"/>
    </row>
    <row r="56" spans="1:76" s="60" customFormat="1" ht="24.75" customHeight="1" x14ac:dyDescent="0.3">
      <c r="A56" s="43"/>
      <c r="B56" s="79" t="s">
        <v>214</v>
      </c>
      <c r="C56" s="79"/>
      <c r="D56" s="80" t="str">
        <f>Данные!B5</f>
        <v>0,00814</v>
      </c>
      <c r="E56" s="79"/>
      <c r="F56" s="79"/>
      <c r="G56" s="81"/>
      <c r="H56" s="184" t="s">
        <v>215</v>
      </c>
      <c r="I56" s="184"/>
      <c r="J56" s="184"/>
      <c r="K56" s="184"/>
      <c r="L56" s="184"/>
      <c r="M56" s="184"/>
      <c r="N56" s="184"/>
      <c r="O56" s="184"/>
      <c r="P56" s="184"/>
      <c r="Q56" s="184"/>
      <c r="R56" s="184"/>
      <c r="S56" s="184"/>
      <c r="T56" s="184"/>
      <c r="U56" s="184"/>
      <c r="V56" s="184"/>
      <c r="W56" s="184"/>
      <c r="X56" s="184"/>
      <c r="Y56" s="184"/>
      <c r="Z56" s="184"/>
      <c r="AA56" s="184"/>
      <c r="AB56" s="184"/>
      <c r="AC56" s="184"/>
      <c r="AD56" s="184"/>
      <c r="AE56" s="184"/>
      <c r="AF56" s="184"/>
      <c r="AG56" s="184"/>
      <c r="AH56" s="184"/>
      <c r="AI56" s="184"/>
      <c r="AJ56" s="184"/>
      <c r="AK56" s="184"/>
      <c r="AL56" s="184"/>
      <c r="AM56" s="184"/>
      <c r="AN56" s="184"/>
      <c r="AO56" s="184"/>
      <c r="AP56" s="184"/>
      <c r="AQ56" s="184"/>
      <c r="AR56" s="184"/>
      <c r="AS56" s="184"/>
      <c r="AT56" s="184"/>
      <c r="AU56" s="184"/>
      <c r="AV56" s="184"/>
      <c r="AW56" s="184"/>
      <c r="AX56" s="184"/>
      <c r="AY56" s="184"/>
      <c r="AZ56" s="184"/>
      <c r="BA56" s="184"/>
      <c r="BB56" s="184"/>
      <c r="BC56" s="184"/>
      <c r="BD56" s="184"/>
      <c r="BE56" s="184"/>
      <c r="BF56" s="184"/>
      <c r="BG56" s="184"/>
      <c r="BH56" s="184"/>
      <c r="BI56" s="184"/>
      <c r="BJ56" s="184"/>
      <c r="BK56" s="184"/>
      <c r="BL56" s="184"/>
      <c r="BM56" s="184"/>
      <c r="BN56" s="184"/>
      <c r="BO56" s="184"/>
      <c r="BP56" s="184"/>
      <c r="BQ56" s="184"/>
      <c r="BR56" s="184"/>
      <c r="BS56" s="184"/>
      <c r="BT56" s="184"/>
      <c r="BU56" s="184"/>
      <c r="BV56" s="43"/>
      <c r="BW56" s="43"/>
      <c r="BX56" s="43"/>
    </row>
    <row r="57" spans="1:76" s="60" customFormat="1" ht="12" customHeight="1" x14ac:dyDescent="0.3">
      <c r="A57" s="43"/>
      <c r="B57" s="96"/>
      <c r="C57" s="96"/>
      <c r="D57" s="96"/>
      <c r="E57" s="96"/>
      <c r="F57" s="96"/>
      <c r="G57" s="96"/>
      <c r="H57" s="96"/>
      <c r="I57" s="96"/>
      <c r="J57" s="96"/>
      <c r="K57" s="96"/>
      <c r="L57" s="96"/>
      <c r="M57" s="96"/>
      <c r="N57" s="96"/>
      <c r="O57" s="96"/>
      <c r="P57" s="96"/>
      <c r="Q57" s="96"/>
      <c r="R57" s="96"/>
      <c r="S57" s="96"/>
      <c r="T57" s="96"/>
      <c r="U57" s="96"/>
      <c r="V57" s="89"/>
      <c r="W57" s="89"/>
      <c r="X57" s="89"/>
      <c r="Y57" s="89"/>
      <c r="Z57" s="89"/>
      <c r="AA57" s="89"/>
      <c r="AB57" s="89"/>
      <c r="AC57" s="89"/>
      <c r="AD57" s="89"/>
      <c r="AE57" s="89"/>
      <c r="AF57" s="89"/>
      <c r="AG57" s="89"/>
      <c r="AH57" s="89"/>
      <c r="AI57" s="89"/>
      <c r="AJ57" s="89"/>
      <c r="AK57" s="89"/>
      <c r="AL57" s="89"/>
      <c r="AM57" s="89"/>
      <c r="AN57" s="89"/>
      <c r="AO57" s="89"/>
      <c r="AP57" s="89"/>
      <c r="AQ57" s="89"/>
      <c r="AR57" s="89"/>
      <c r="AS57" s="89"/>
      <c r="AT57" s="89"/>
      <c r="AU57" s="89"/>
      <c r="AV57" s="89"/>
      <c r="AW57" s="89"/>
      <c r="AX57" s="89"/>
      <c r="AY57" s="89"/>
      <c r="AZ57" s="89"/>
      <c r="BA57" s="89"/>
      <c r="BB57" s="89"/>
      <c r="BC57" s="89"/>
      <c r="BD57" s="89"/>
      <c r="BE57" s="89"/>
      <c r="BF57" s="89"/>
      <c r="BG57" s="89"/>
      <c r="BH57" s="89"/>
      <c r="BI57" s="89"/>
      <c r="BJ57" s="89"/>
      <c r="BK57" s="89"/>
      <c r="BL57" s="89"/>
      <c r="BM57" s="89"/>
      <c r="BN57" s="89"/>
      <c r="BO57" s="89"/>
      <c r="BP57" s="89"/>
      <c r="BQ57" s="97"/>
      <c r="BR57" s="97"/>
      <c r="BS57" s="97"/>
      <c r="BT57" s="97"/>
      <c r="BU57" s="97"/>
      <c r="BV57" s="43"/>
      <c r="BW57" s="43"/>
      <c r="BX57" s="43"/>
    </row>
    <row r="58" spans="1:76" ht="13.5" customHeight="1" x14ac:dyDescent="0.3">
      <c r="A58" s="43"/>
      <c r="B58" s="43"/>
      <c r="C58" s="43"/>
      <c r="D58" s="43"/>
      <c r="E58" s="43"/>
      <c r="F58" s="43"/>
      <c r="G58" s="43"/>
      <c r="H58" s="43"/>
      <c r="I58" s="43"/>
      <c r="J58" s="43"/>
      <c r="K58" s="43"/>
      <c r="L58" s="43"/>
      <c r="M58" s="43"/>
      <c r="N58" s="43"/>
      <c r="O58" s="43"/>
      <c r="P58" s="43"/>
      <c r="Q58" s="43"/>
      <c r="R58" s="43"/>
      <c r="S58" s="43"/>
      <c r="T58" s="43"/>
      <c r="U58" s="43"/>
      <c r="V58" s="43"/>
      <c r="W58" s="43"/>
      <c r="X58" s="43"/>
      <c r="Y58" s="43"/>
      <c r="Z58" s="43"/>
      <c r="AA58" s="43"/>
      <c r="AB58" s="43"/>
      <c r="AC58" s="43"/>
      <c r="AD58" s="43"/>
      <c r="AE58" s="43"/>
      <c r="AF58" s="43"/>
      <c r="AG58" s="43"/>
      <c r="AH58" s="43"/>
      <c r="AI58" s="43"/>
      <c r="AJ58" s="43"/>
      <c r="AK58" s="43"/>
      <c r="AL58" s="43"/>
      <c r="AM58" s="43"/>
      <c r="AN58" s="43"/>
      <c r="AO58" s="43"/>
      <c r="AP58" s="43"/>
      <c r="AQ58" s="43"/>
      <c r="AR58" s="43"/>
      <c r="AS58" s="43"/>
      <c r="AT58" s="43"/>
      <c r="AU58" s="43"/>
      <c r="AV58" s="43"/>
      <c r="AW58" s="43"/>
      <c r="AX58" s="43"/>
      <c r="AY58" s="43"/>
      <c r="AZ58" s="43"/>
      <c r="BA58" s="43"/>
      <c r="BB58" s="43"/>
      <c r="BC58" s="43"/>
      <c r="BD58" s="43"/>
      <c r="BE58" s="43"/>
      <c r="BF58" s="43"/>
      <c r="BG58" s="43"/>
      <c r="BH58" s="43"/>
      <c r="BI58" s="43"/>
      <c r="BJ58" s="43"/>
      <c r="BK58" s="43"/>
      <c r="BL58" s="43"/>
      <c r="BM58" s="43"/>
      <c r="BN58" s="43"/>
      <c r="BO58" s="43"/>
      <c r="BP58" s="43"/>
      <c r="BQ58" s="43"/>
      <c r="BR58" s="43"/>
      <c r="BS58" s="43"/>
      <c r="BT58" s="43"/>
      <c r="BU58" s="43"/>
      <c r="BV58" s="43"/>
      <c r="BW58" s="43"/>
      <c r="BX58" s="43"/>
    </row>
    <row r="59" spans="1:76" ht="13.5" customHeight="1" x14ac:dyDescent="0.3">
      <c r="A59" s="43"/>
      <c r="B59" s="134" t="s">
        <v>8</v>
      </c>
      <c r="C59" s="134"/>
      <c r="D59" s="134"/>
      <c r="E59" s="134"/>
      <c r="F59" s="134"/>
      <c r="G59" s="134"/>
      <c r="H59" s="134"/>
      <c r="I59" s="134"/>
      <c r="J59" s="134"/>
      <c r="K59" s="134"/>
      <c r="L59" s="134"/>
      <c r="M59" s="134"/>
      <c r="N59" s="134"/>
      <c r="O59" s="134"/>
      <c r="P59" s="134"/>
      <c r="Q59" s="134"/>
      <c r="R59" s="134"/>
      <c r="S59" s="134"/>
      <c r="T59" s="134"/>
      <c r="U59" s="134"/>
      <c r="V59" s="134"/>
      <c r="W59" s="134"/>
      <c r="X59" s="134"/>
      <c r="Y59" s="134"/>
      <c r="Z59" s="134"/>
      <c r="AA59" s="134"/>
      <c r="AB59" s="134"/>
      <c r="AC59" s="134"/>
      <c r="AD59" s="134"/>
      <c r="AE59" s="134"/>
      <c r="AF59" s="134"/>
      <c r="AG59" s="134"/>
      <c r="AH59" s="134"/>
      <c r="AI59" s="134"/>
      <c r="AJ59" s="134"/>
      <c r="AK59" s="134"/>
      <c r="AL59" s="134"/>
      <c r="AM59" s="134"/>
      <c r="AN59" s="134"/>
      <c r="AO59" s="134"/>
      <c r="AP59" s="134"/>
      <c r="AQ59" s="134"/>
      <c r="AR59" s="134"/>
      <c r="AS59" s="134"/>
      <c r="AT59" s="134"/>
      <c r="AU59" s="134"/>
      <c r="AV59" s="134"/>
      <c r="AW59" s="134"/>
      <c r="AX59" s="134"/>
      <c r="AY59" s="134"/>
      <c r="AZ59" s="134"/>
      <c r="BA59" s="134"/>
      <c r="BB59" s="134"/>
      <c r="BC59" s="134"/>
      <c r="BD59" s="134"/>
      <c r="BE59" s="134"/>
      <c r="BF59" s="134"/>
      <c r="BG59" s="134"/>
      <c r="BH59" s="134"/>
      <c r="BI59" s="134"/>
      <c r="BJ59" s="134"/>
      <c r="BK59" s="134"/>
      <c r="BL59" s="134"/>
      <c r="BM59" s="134"/>
      <c r="BN59" s="134"/>
      <c r="BO59" s="134"/>
      <c r="BP59" s="134"/>
      <c r="BQ59" s="134"/>
      <c r="BR59" s="134"/>
      <c r="BS59" s="134"/>
      <c r="BT59" s="134"/>
      <c r="BU59" s="43"/>
      <c r="BV59" s="43"/>
      <c r="BW59" s="43"/>
      <c r="BX59" s="43"/>
    </row>
    <row r="60" spans="1:76" ht="13.5" customHeight="1" x14ac:dyDescent="0.3">
      <c r="A60" s="43"/>
      <c r="B60" s="43"/>
      <c r="C60" s="43"/>
      <c r="D60" s="43"/>
      <c r="E60" s="43"/>
      <c r="F60" s="43"/>
      <c r="G60" s="43"/>
      <c r="H60" s="43"/>
      <c r="I60" s="43"/>
      <c r="J60" s="43"/>
      <c r="K60" s="43"/>
      <c r="L60" s="43"/>
      <c r="M60" s="43"/>
      <c r="N60" s="43"/>
      <c r="O60" s="43"/>
      <c r="P60" s="43"/>
      <c r="Q60" s="43"/>
      <c r="R60" s="43"/>
      <c r="S60" s="43"/>
      <c r="T60" s="43"/>
      <c r="U60" s="43"/>
      <c r="V60" s="43"/>
      <c r="W60" s="43"/>
      <c r="X60" s="43"/>
      <c r="Y60" s="43"/>
      <c r="Z60" s="43"/>
      <c r="AA60" s="43"/>
      <c r="AB60" s="43"/>
      <c r="AC60" s="43"/>
      <c r="AD60" s="43"/>
      <c r="AE60" s="43"/>
      <c r="AF60" s="43"/>
      <c r="AG60" s="43"/>
      <c r="AH60" s="43"/>
      <c r="AI60" s="43"/>
      <c r="AJ60" s="43"/>
      <c r="AK60" s="43"/>
      <c r="AL60" s="43"/>
      <c r="AM60" s="43"/>
      <c r="AN60" s="43"/>
      <c r="AO60" s="43"/>
      <c r="AP60" s="43"/>
      <c r="AQ60" s="43"/>
      <c r="AR60" s="43"/>
      <c r="AS60" s="43"/>
      <c r="AT60" s="43"/>
      <c r="AU60" s="43"/>
      <c r="AV60" s="43"/>
      <c r="AW60" s="43"/>
      <c r="AX60" s="43"/>
      <c r="AY60" s="43"/>
      <c r="AZ60" s="43"/>
      <c r="BA60" s="43"/>
      <c r="BB60" s="43"/>
      <c r="BC60" s="43"/>
      <c r="BD60" s="43"/>
      <c r="BE60" s="43"/>
      <c r="BF60" s="43"/>
      <c r="BG60" s="43"/>
      <c r="BH60" s="43"/>
      <c r="BI60" s="43"/>
      <c r="BJ60" s="43"/>
      <c r="BK60" s="43"/>
      <c r="BL60" s="43"/>
      <c r="BM60" s="43"/>
      <c r="BN60" s="43"/>
      <c r="BO60" s="43"/>
      <c r="BP60" s="43"/>
      <c r="BQ60" s="43"/>
      <c r="BR60" s="43"/>
      <c r="BS60" s="43"/>
      <c r="BT60" s="43"/>
      <c r="BU60" s="43"/>
      <c r="BV60" s="43"/>
      <c r="BW60" s="43"/>
      <c r="BX60" s="43"/>
    </row>
    <row r="61" spans="1:76" ht="13.5" customHeight="1" x14ac:dyDescent="0.3">
      <c r="A61" s="122" t="s">
        <v>225</v>
      </c>
      <c r="B61" s="123"/>
      <c r="C61" s="123"/>
      <c r="D61" s="123"/>
      <c r="E61" s="123"/>
      <c r="F61" s="123"/>
      <c r="G61" s="123"/>
      <c r="H61" s="123"/>
      <c r="I61" s="123"/>
      <c r="J61" s="123"/>
      <c r="K61" s="123"/>
      <c r="L61" s="123"/>
      <c r="M61" s="123"/>
      <c r="N61" s="123"/>
      <c r="O61" s="123"/>
      <c r="P61" s="123"/>
      <c r="Q61" s="123"/>
      <c r="R61" s="123"/>
      <c r="S61" s="123"/>
      <c r="T61" s="123"/>
      <c r="U61" s="123"/>
      <c r="V61" s="123"/>
      <c r="W61" s="123"/>
      <c r="X61" s="123"/>
      <c r="Y61" s="123"/>
      <c r="Z61" s="123"/>
      <c r="AA61" s="123"/>
      <c r="AB61" s="123"/>
      <c r="AC61" s="123"/>
      <c r="AD61" s="123"/>
      <c r="AE61" s="123"/>
      <c r="AF61" s="123"/>
      <c r="AG61" s="123"/>
      <c r="AH61" s="123"/>
      <c r="AI61" s="123"/>
      <c r="AJ61" s="123"/>
      <c r="AK61" s="123"/>
      <c r="AL61" s="123"/>
      <c r="AM61" s="123"/>
      <c r="AN61" s="123"/>
      <c r="AO61" s="123"/>
      <c r="AP61" s="123"/>
      <c r="AQ61" s="123"/>
      <c r="AR61" s="123"/>
      <c r="AS61" s="123"/>
      <c r="AT61" s="123"/>
      <c r="AU61" s="123"/>
      <c r="AV61" s="123"/>
      <c r="AW61" s="123"/>
      <c r="AX61" s="123"/>
      <c r="AY61" s="123"/>
      <c r="AZ61" s="123"/>
      <c r="BA61" s="123"/>
      <c r="BB61" s="123"/>
      <c r="BC61" s="123"/>
      <c r="BD61" s="123"/>
      <c r="BE61" s="123"/>
      <c r="BF61" s="123"/>
      <c r="BG61" s="123"/>
      <c r="BH61" s="123"/>
      <c r="BI61" s="123"/>
      <c r="BJ61" s="123"/>
      <c r="BK61" s="123"/>
      <c r="BL61" s="123"/>
      <c r="BM61" s="123"/>
      <c r="BN61" s="123"/>
      <c r="BO61" s="123"/>
      <c r="BP61" s="123"/>
      <c r="BQ61" s="123"/>
      <c r="BR61" s="123"/>
      <c r="BS61" s="123"/>
      <c r="BT61" s="123"/>
      <c r="BU61" s="123"/>
      <c r="BV61" s="123"/>
      <c r="BW61" s="43"/>
      <c r="BX61" s="43"/>
    </row>
    <row r="62" spans="1:76" ht="19.5" customHeight="1" x14ac:dyDescent="0.3">
      <c r="A62" s="123"/>
      <c r="B62" s="123"/>
      <c r="C62" s="123"/>
      <c r="D62" s="123"/>
      <c r="E62" s="123"/>
      <c r="F62" s="123"/>
      <c r="G62" s="123"/>
      <c r="H62" s="123"/>
      <c r="I62" s="123"/>
      <c r="J62" s="123"/>
      <c r="K62" s="123"/>
      <c r="L62" s="123"/>
      <c r="M62" s="123"/>
      <c r="N62" s="123"/>
      <c r="O62" s="123"/>
      <c r="P62" s="123"/>
      <c r="Q62" s="123"/>
      <c r="R62" s="123"/>
      <c r="S62" s="123"/>
      <c r="T62" s="123"/>
      <c r="U62" s="123"/>
      <c r="V62" s="123"/>
      <c r="W62" s="123"/>
      <c r="X62" s="123"/>
      <c r="Y62" s="123"/>
      <c r="Z62" s="123"/>
      <c r="AA62" s="123"/>
      <c r="AB62" s="123"/>
      <c r="AC62" s="123"/>
      <c r="AD62" s="123"/>
      <c r="AE62" s="123"/>
      <c r="AF62" s="123"/>
      <c r="AG62" s="123"/>
      <c r="AH62" s="123"/>
      <c r="AI62" s="123"/>
      <c r="AJ62" s="123"/>
      <c r="AK62" s="123"/>
      <c r="AL62" s="123"/>
      <c r="AM62" s="123"/>
      <c r="AN62" s="123"/>
      <c r="AO62" s="123"/>
      <c r="AP62" s="123"/>
      <c r="AQ62" s="123"/>
      <c r="AR62" s="123"/>
      <c r="AS62" s="123"/>
      <c r="AT62" s="123"/>
      <c r="AU62" s="123"/>
      <c r="AV62" s="123"/>
      <c r="AW62" s="123"/>
      <c r="AX62" s="123"/>
      <c r="AY62" s="123"/>
      <c r="AZ62" s="123"/>
      <c r="BA62" s="123"/>
      <c r="BB62" s="123"/>
      <c r="BC62" s="123"/>
      <c r="BD62" s="123"/>
      <c r="BE62" s="123"/>
      <c r="BF62" s="123"/>
      <c r="BG62" s="123"/>
      <c r="BH62" s="123"/>
      <c r="BI62" s="123"/>
      <c r="BJ62" s="123"/>
      <c r="BK62" s="123"/>
      <c r="BL62" s="123"/>
      <c r="BM62" s="123"/>
      <c r="BN62" s="123"/>
      <c r="BO62" s="123"/>
      <c r="BP62" s="123"/>
      <c r="BQ62" s="123"/>
      <c r="BR62" s="123"/>
      <c r="BS62" s="123"/>
      <c r="BT62" s="123"/>
      <c r="BU62" s="123"/>
      <c r="BV62" s="123"/>
      <c r="BW62" s="43"/>
      <c r="BX62" s="43"/>
    </row>
    <row r="63" spans="1:76" s="33" customFormat="1" ht="34.5" customHeight="1" x14ac:dyDescent="0.3">
      <c r="A63" s="1"/>
      <c r="B63" s="43"/>
      <c r="C63" s="43"/>
      <c r="D63" s="43"/>
      <c r="E63" s="43"/>
      <c r="F63" s="43"/>
      <c r="G63" s="43"/>
      <c r="H63" s="43"/>
      <c r="I63" s="43"/>
      <c r="J63" s="43"/>
      <c r="K63" s="43"/>
      <c r="L63" s="43"/>
      <c r="M63" s="43"/>
      <c r="N63" s="43"/>
      <c r="O63" s="43"/>
      <c r="P63" s="43"/>
      <c r="Q63" s="43"/>
      <c r="R63" s="43"/>
      <c r="S63" s="43"/>
      <c r="T63" s="43"/>
      <c r="U63" s="43"/>
      <c r="V63" s="43"/>
      <c r="W63" s="43"/>
      <c r="X63" s="43"/>
      <c r="Y63" s="43"/>
      <c r="Z63" s="43"/>
      <c r="AA63" s="43"/>
      <c r="AB63" s="43"/>
      <c r="AC63" s="43"/>
      <c r="AD63" s="43"/>
      <c r="AE63" s="43"/>
      <c r="AF63" s="43"/>
      <c r="AG63" s="43"/>
      <c r="AH63" s="43"/>
      <c r="AI63" s="43"/>
      <c r="AJ63" s="43"/>
      <c r="AK63" s="43"/>
      <c r="AL63" s="43"/>
      <c r="AM63" s="43"/>
      <c r="AN63" s="43"/>
      <c r="AO63" s="43"/>
      <c r="AP63" s="43"/>
      <c r="AQ63" s="43"/>
      <c r="AR63" s="43"/>
      <c r="AS63" s="43"/>
      <c r="AT63" s="43"/>
      <c r="AU63" s="43"/>
      <c r="AV63" s="43"/>
      <c r="AW63" s="43"/>
      <c r="AX63" s="43"/>
      <c r="AY63" s="43"/>
      <c r="AZ63" s="43"/>
      <c r="BA63" s="43"/>
      <c r="BB63" s="43"/>
      <c r="BC63" s="43"/>
      <c r="BD63" s="43"/>
      <c r="BE63" s="43"/>
      <c r="BF63" s="43"/>
      <c r="BG63" s="43"/>
      <c r="BH63" s="43"/>
      <c r="BI63" s="43"/>
      <c r="BJ63" s="43"/>
      <c r="BK63" s="43"/>
      <c r="BL63" s="43"/>
      <c r="BM63" s="43"/>
      <c r="BN63" s="43"/>
      <c r="BO63" s="43"/>
      <c r="BP63" s="43"/>
      <c r="BQ63" s="43"/>
      <c r="BR63" s="43"/>
      <c r="BS63" s="43"/>
      <c r="BT63" s="43"/>
      <c r="BU63" s="43"/>
      <c r="BV63" s="43"/>
      <c r="BW63" s="43"/>
      <c r="BX63" s="43"/>
    </row>
    <row r="64" spans="1:76" ht="13.5" customHeight="1" x14ac:dyDescent="0.3">
      <c r="A64" s="1" t="s">
        <v>9</v>
      </c>
      <c r="B64" s="43"/>
      <c r="C64" s="43"/>
      <c r="D64" s="43"/>
      <c r="E64" s="43"/>
      <c r="F64" s="43"/>
      <c r="G64" s="43"/>
      <c r="H64" s="43"/>
      <c r="I64" s="98"/>
      <c r="J64" s="98"/>
      <c r="K64" s="98"/>
      <c r="L64" s="98"/>
      <c r="M64" s="98"/>
      <c r="N64" s="98"/>
      <c r="O64" s="98"/>
      <c r="P64" s="98"/>
      <c r="Q64" s="98"/>
      <c r="R64" s="98"/>
      <c r="S64" s="98"/>
      <c r="T64" s="98"/>
      <c r="U64" s="92"/>
      <c r="V64" s="140" t="str">
        <f>Данные!C9</f>
        <v>Стариков С.В.</v>
      </c>
      <c r="W64" s="140"/>
      <c r="X64" s="140"/>
      <c r="Y64" s="140"/>
      <c r="Z64" s="140"/>
      <c r="AA64" s="140"/>
      <c r="AB64" s="140"/>
      <c r="AC64" s="140"/>
      <c r="AD64" s="140"/>
      <c r="AE64" s="140"/>
      <c r="AF64" s="140"/>
      <c r="AG64" s="140"/>
      <c r="AH64" s="92"/>
      <c r="AI64" s="92"/>
      <c r="AJ64" s="92"/>
      <c r="AK64" s="92"/>
      <c r="AL64" s="92"/>
      <c r="AM64" s="92"/>
      <c r="AN64" s="92"/>
      <c r="AO64" s="92"/>
      <c r="AP64" s="92"/>
      <c r="AQ64" s="1" t="s">
        <v>11</v>
      </c>
      <c r="AR64" s="43"/>
      <c r="AS64" s="43"/>
      <c r="AT64" s="43"/>
      <c r="AU64" s="43"/>
      <c r="AV64" s="43"/>
      <c r="AW64" s="43"/>
      <c r="AX64" s="43"/>
      <c r="AY64" s="43"/>
      <c r="AZ64" s="43"/>
      <c r="BA64" s="43"/>
      <c r="BB64" s="135">
        <f>Данные!B10</f>
        <v>45946</v>
      </c>
      <c r="BC64" s="135"/>
      <c r="BD64" s="135"/>
      <c r="BE64" s="135"/>
      <c r="BF64" s="135"/>
      <c r="BG64" s="135"/>
      <c r="BH64" s="135"/>
      <c r="BI64" s="135"/>
      <c r="BJ64" s="135"/>
      <c r="BK64" s="135"/>
      <c r="BL64" s="135"/>
      <c r="BM64" s="135"/>
      <c r="BN64" s="135"/>
      <c r="BO64" s="135"/>
      <c r="BP64" s="135"/>
      <c r="BQ64" s="135"/>
      <c r="BR64" s="135"/>
      <c r="BS64" s="135"/>
      <c r="BT64" s="135"/>
      <c r="BU64" s="43"/>
      <c r="BV64" s="43"/>
      <c r="BW64" s="43"/>
      <c r="BX64" s="43"/>
    </row>
    <row r="65" spans="1:76" ht="13.5" customHeight="1" x14ac:dyDescent="0.3">
      <c r="A65" s="43"/>
      <c r="B65" s="43"/>
      <c r="C65" s="43"/>
      <c r="D65" s="43"/>
      <c r="E65" s="43"/>
      <c r="F65" s="43"/>
      <c r="G65" s="43"/>
      <c r="H65" s="43"/>
      <c r="I65" s="133" t="s">
        <v>10</v>
      </c>
      <c r="J65" s="133"/>
      <c r="K65" s="133"/>
      <c r="L65" s="133"/>
      <c r="M65" s="133"/>
      <c r="N65" s="133"/>
      <c r="O65" s="133"/>
      <c r="P65" s="43"/>
      <c r="Q65" s="43"/>
      <c r="R65" s="43"/>
      <c r="S65" s="43"/>
      <c r="T65" s="3"/>
      <c r="U65" s="43"/>
      <c r="V65" s="43"/>
      <c r="W65" s="43"/>
      <c r="X65" s="43"/>
      <c r="Y65" s="43"/>
      <c r="Z65" s="43"/>
      <c r="AA65" s="43"/>
      <c r="AB65" s="43"/>
      <c r="AC65" s="43"/>
      <c r="AD65" s="43"/>
      <c r="AE65" s="92"/>
      <c r="AF65" s="92"/>
      <c r="AG65" s="92"/>
      <c r="AH65" s="92"/>
      <c r="AI65" s="92"/>
      <c r="AJ65" s="92"/>
      <c r="AK65" s="92"/>
      <c r="AL65" s="92"/>
      <c r="AM65" s="92"/>
      <c r="AN65" s="92"/>
      <c r="AO65" s="92"/>
      <c r="AP65" s="92"/>
      <c r="AQ65" s="92"/>
      <c r="AR65" s="43"/>
      <c r="AS65" s="43"/>
      <c r="AT65" s="43"/>
      <c r="AU65" s="43"/>
      <c r="AV65" s="43"/>
      <c r="AW65" s="43"/>
      <c r="AX65" s="43"/>
      <c r="AY65" s="43"/>
      <c r="AZ65" s="43"/>
      <c r="BA65" s="43"/>
      <c r="BB65" s="43"/>
      <c r="BC65" s="43"/>
      <c r="BD65" s="43"/>
      <c r="BE65" s="43"/>
      <c r="BF65" s="43"/>
      <c r="BG65" s="43"/>
      <c r="BH65" s="43"/>
      <c r="BI65" s="43"/>
      <c r="BJ65" s="43"/>
      <c r="BK65" s="43"/>
      <c r="BL65" s="43"/>
      <c r="BM65" s="43"/>
      <c r="BN65" s="43"/>
      <c r="BO65" s="43"/>
      <c r="BP65" s="43"/>
      <c r="BQ65" s="43"/>
      <c r="BR65" s="43"/>
      <c r="BS65" s="43"/>
      <c r="BT65" s="43"/>
      <c r="BU65" s="43"/>
      <c r="BV65" s="43"/>
      <c r="BW65" s="43"/>
      <c r="BX65" s="43"/>
    </row>
    <row r="66" spans="1:76" ht="13.5" customHeight="1" x14ac:dyDescent="0.3"/>
    <row r="67" spans="1:76" ht="13.5" customHeight="1" x14ac:dyDescent="0.3">
      <c r="I67" s="2"/>
      <c r="J67" s="2"/>
      <c r="K67" s="2"/>
      <c r="L67" s="2"/>
      <c r="M67" s="2"/>
      <c r="N67" s="2"/>
      <c r="O67" s="1"/>
      <c r="X67" s="121"/>
      <c r="Y67" s="121"/>
      <c r="Z67" s="121"/>
      <c r="AA67" s="121"/>
      <c r="AB67" s="121"/>
      <c r="AC67" s="121"/>
      <c r="AD67" s="121"/>
      <c r="AE67" s="121"/>
      <c r="AF67" s="121"/>
      <c r="AG67" s="121"/>
      <c r="AH67" s="121"/>
      <c r="AI67" s="121"/>
      <c r="AJ67" s="121"/>
      <c r="AK67" s="121"/>
      <c r="AL67" s="121"/>
      <c r="AM67" s="121"/>
      <c r="AN67" s="121"/>
      <c r="AO67" s="121"/>
    </row>
    <row r="68" spans="1:76" ht="13.5" customHeight="1" x14ac:dyDescent="0.3">
      <c r="I68" s="2"/>
      <c r="J68" s="2"/>
      <c r="K68" s="2"/>
      <c r="L68" s="2"/>
      <c r="M68" s="2"/>
      <c r="N68" s="2"/>
      <c r="O68" s="2"/>
    </row>
    <row r="69" spans="1:76" ht="13.5" customHeight="1" x14ac:dyDescent="0.3">
      <c r="A69" s="1"/>
    </row>
    <row r="70" spans="1:76" ht="13.5" customHeight="1" x14ac:dyDescent="0.3"/>
    <row r="71" spans="1:76" ht="13.5" customHeight="1" x14ac:dyDescent="0.3"/>
    <row r="72" spans="1:76" ht="13.5" customHeight="1" x14ac:dyDescent="0.3"/>
    <row r="73" spans="1:76" ht="13.5" customHeight="1" x14ac:dyDescent="0.3"/>
    <row r="74" spans="1:76" ht="13.5" customHeight="1" x14ac:dyDescent="0.3"/>
    <row r="75" spans="1:76" ht="13.5" customHeight="1" x14ac:dyDescent="0.3"/>
    <row r="76" spans="1:76" ht="13.5" customHeight="1" x14ac:dyDescent="0.3"/>
    <row r="77" spans="1:76" ht="13.5" customHeight="1" x14ac:dyDescent="0.3"/>
    <row r="78" spans="1:76" ht="13.5" customHeight="1" x14ac:dyDescent="0.3"/>
    <row r="79" spans="1:76" ht="13.5" customHeight="1" x14ac:dyDescent="0.3"/>
    <row r="80" spans="1:76" ht="13.5" customHeight="1" x14ac:dyDescent="0.3"/>
    <row r="81" ht="13.5" customHeight="1" x14ac:dyDescent="0.3"/>
    <row r="82" ht="13.5" customHeight="1" x14ac:dyDescent="0.3"/>
    <row r="83" ht="13.5" customHeight="1" x14ac:dyDescent="0.3"/>
    <row r="84" ht="13.5" customHeight="1" x14ac:dyDescent="0.3"/>
    <row r="85" ht="13.5" customHeight="1" x14ac:dyDescent="0.3"/>
    <row r="86" ht="13.5" customHeight="1" x14ac:dyDescent="0.3"/>
    <row r="87" ht="13.5" customHeight="1" x14ac:dyDescent="0.3"/>
    <row r="88" ht="13.5" customHeight="1" x14ac:dyDescent="0.3"/>
    <row r="89" ht="13.5" customHeight="1" x14ac:dyDescent="0.3"/>
    <row r="90" ht="13.5" customHeight="1" x14ac:dyDescent="0.3"/>
    <row r="91" ht="13.5" customHeight="1" x14ac:dyDescent="0.3"/>
    <row r="92" ht="13.5" customHeight="1" x14ac:dyDescent="0.3"/>
    <row r="93" ht="13.5" customHeight="1" x14ac:dyDescent="0.3"/>
    <row r="94" ht="13.5" customHeight="1" x14ac:dyDescent="0.3"/>
    <row r="95" ht="13.5" customHeight="1" x14ac:dyDescent="0.3"/>
    <row r="96" ht="13.5" customHeight="1" x14ac:dyDescent="0.3"/>
    <row r="97" ht="13.5" customHeight="1" x14ac:dyDescent="0.3"/>
    <row r="98" ht="13.5" customHeight="1" x14ac:dyDescent="0.3"/>
    <row r="99" ht="13.5" customHeight="1" x14ac:dyDescent="0.3"/>
    <row r="100" ht="13.5" customHeight="1" x14ac:dyDescent="0.3"/>
    <row r="101" ht="13.5" customHeight="1" x14ac:dyDescent="0.3"/>
    <row r="102" ht="13.5" customHeight="1" x14ac:dyDescent="0.3"/>
    <row r="103" ht="13.5" customHeight="1" x14ac:dyDescent="0.3"/>
    <row r="104" ht="13.5" customHeight="1" x14ac:dyDescent="0.3"/>
    <row r="105" ht="13.5" customHeight="1" x14ac:dyDescent="0.3"/>
    <row r="106" ht="13.5" customHeight="1" x14ac:dyDescent="0.3"/>
    <row r="107" ht="13.5" customHeight="1" x14ac:dyDescent="0.3"/>
    <row r="108" ht="13.5" customHeight="1" x14ac:dyDescent="0.3"/>
    <row r="109" ht="13.5" customHeight="1" x14ac:dyDescent="0.3"/>
    <row r="110" ht="13.5" customHeight="1" x14ac:dyDescent="0.3"/>
    <row r="111" ht="13.5" customHeight="1" x14ac:dyDescent="0.3"/>
    <row r="112" ht="13.5" customHeight="1" x14ac:dyDescent="0.3"/>
    <row r="113" ht="13.5" customHeight="1" x14ac:dyDescent="0.3"/>
    <row r="114" ht="13.5" customHeight="1" x14ac:dyDescent="0.3"/>
    <row r="115" ht="13.5" customHeight="1" x14ac:dyDescent="0.3"/>
    <row r="116" ht="13.5" customHeight="1" x14ac:dyDescent="0.3"/>
    <row r="117" ht="13.5" customHeight="1" x14ac:dyDescent="0.3"/>
    <row r="118" ht="13.5" customHeight="1" x14ac:dyDescent="0.3"/>
    <row r="119" ht="13.5" customHeight="1" x14ac:dyDescent="0.3"/>
    <row r="120" ht="13.5" customHeight="1" x14ac:dyDescent="0.3"/>
    <row r="121" ht="13.5" customHeight="1" x14ac:dyDescent="0.3"/>
    <row r="122" ht="13.5" customHeight="1" x14ac:dyDescent="0.3"/>
    <row r="123" ht="13.5" customHeight="1" x14ac:dyDescent="0.3"/>
    <row r="124" ht="13.5" customHeight="1" x14ac:dyDescent="0.3"/>
    <row r="125" ht="13.5" customHeight="1" x14ac:dyDescent="0.3"/>
    <row r="126" ht="13.5" customHeight="1" x14ac:dyDescent="0.3"/>
    <row r="127" ht="13.5" customHeight="1" x14ac:dyDescent="0.3"/>
    <row r="128" ht="13.5" customHeight="1" x14ac:dyDescent="0.3"/>
    <row r="129" ht="13.5" customHeight="1" x14ac:dyDescent="0.3"/>
    <row r="130" ht="13.5" customHeight="1" x14ac:dyDescent="0.3"/>
    <row r="131" ht="13.5" customHeight="1" x14ac:dyDescent="0.3"/>
    <row r="132" ht="13.5" customHeight="1" x14ac:dyDescent="0.3"/>
    <row r="133" ht="13.5" customHeight="1" x14ac:dyDescent="0.3"/>
    <row r="134" ht="13.5" customHeight="1" x14ac:dyDescent="0.3"/>
    <row r="135" ht="13.5" customHeight="1" x14ac:dyDescent="0.3"/>
    <row r="136" ht="13.5" customHeight="1" x14ac:dyDescent="0.3"/>
    <row r="137" ht="13.5" customHeight="1" x14ac:dyDescent="0.3"/>
    <row r="138" ht="13.5" customHeight="1" x14ac:dyDescent="0.3"/>
    <row r="139" ht="13.5" customHeight="1" x14ac:dyDescent="0.3"/>
    <row r="140" ht="13.5" customHeight="1" x14ac:dyDescent="0.3"/>
    <row r="141" ht="13.5" customHeight="1" x14ac:dyDescent="0.3"/>
    <row r="142" ht="13.5" customHeight="1" x14ac:dyDescent="0.3"/>
    <row r="143" ht="13.5" customHeight="1" x14ac:dyDescent="0.3"/>
    <row r="144" ht="13.5" customHeight="1" x14ac:dyDescent="0.3"/>
    <row r="145" ht="13.5" customHeight="1" x14ac:dyDescent="0.3"/>
    <row r="146" ht="13.5" customHeight="1" x14ac:dyDescent="0.3"/>
    <row r="147" ht="13.5" customHeight="1" x14ac:dyDescent="0.3"/>
    <row r="148" ht="13.5" customHeight="1" x14ac:dyDescent="0.3"/>
    <row r="149" ht="13.5" customHeight="1" x14ac:dyDescent="0.3"/>
    <row r="150" ht="13.5" customHeight="1" x14ac:dyDescent="0.3"/>
    <row r="151" ht="13.5" customHeight="1" x14ac:dyDescent="0.3"/>
    <row r="152" ht="13.5" customHeight="1" x14ac:dyDescent="0.3"/>
    <row r="153" ht="13.5" customHeight="1" x14ac:dyDescent="0.3"/>
    <row r="154" ht="13.5" customHeight="1" x14ac:dyDescent="0.3"/>
    <row r="155" ht="13.5" customHeight="1" x14ac:dyDescent="0.3"/>
    <row r="156" ht="13.5" customHeight="1" x14ac:dyDescent="0.3"/>
    <row r="157" ht="13.5" customHeight="1" x14ac:dyDescent="0.3"/>
    <row r="158" ht="13.5" customHeight="1" x14ac:dyDescent="0.3"/>
    <row r="159" ht="13.5" customHeight="1" x14ac:dyDescent="0.3"/>
    <row r="160" ht="13.5" customHeight="1" x14ac:dyDescent="0.3"/>
    <row r="161" ht="13.5" customHeight="1" x14ac:dyDescent="0.3"/>
    <row r="162" ht="13.5" customHeight="1" x14ac:dyDescent="0.3"/>
    <row r="163" ht="13.5" customHeight="1" x14ac:dyDescent="0.3"/>
    <row r="164" ht="13.5" customHeight="1" x14ac:dyDescent="0.3"/>
    <row r="165" ht="13.5" customHeight="1" x14ac:dyDescent="0.3"/>
    <row r="166" ht="13.5" customHeight="1" x14ac:dyDescent="0.3"/>
    <row r="167" ht="13.5" customHeight="1" x14ac:dyDescent="0.3"/>
    <row r="168" ht="13.5" customHeight="1" x14ac:dyDescent="0.3"/>
    <row r="169" ht="13.5" customHeight="1" x14ac:dyDescent="0.3"/>
    <row r="170" ht="13.5" customHeight="1" x14ac:dyDescent="0.3"/>
    <row r="171" ht="13.5" customHeight="1" x14ac:dyDescent="0.3"/>
    <row r="172" ht="13.5" customHeight="1" x14ac:dyDescent="0.3"/>
    <row r="173" ht="13.5" customHeight="1" x14ac:dyDescent="0.3"/>
    <row r="174" ht="13.5" customHeight="1" x14ac:dyDescent="0.3"/>
    <row r="175" ht="13.5" customHeight="1" x14ac:dyDescent="0.3"/>
    <row r="176" ht="13.5" customHeight="1" x14ac:dyDescent="0.3"/>
    <row r="177" ht="13.5" customHeight="1" x14ac:dyDescent="0.3"/>
    <row r="178" ht="13.5" customHeight="1" x14ac:dyDescent="0.3"/>
    <row r="179" ht="13.5" customHeight="1" x14ac:dyDescent="0.3"/>
    <row r="180" ht="13.5" customHeight="1" x14ac:dyDescent="0.3"/>
    <row r="181" ht="13.5" customHeight="1" x14ac:dyDescent="0.3"/>
    <row r="182" ht="13.5" customHeight="1" x14ac:dyDescent="0.3"/>
    <row r="183" ht="13.5" customHeight="1" x14ac:dyDescent="0.3"/>
    <row r="184" ht="13.5" customHeight="1" x14ac:dyDescent="0.3"/>
    <row r="185" ht="13.5" customHeight="1" x14ac:dyDescent="0.3"/>
    <row r="186" ht="13.5" customHeight="1" x14ac:dyDescent="0.3"/>
    <row r="187" ht="13.5" customHeight="1" x14ac:dyDescent="0.3"/>
    <row r="188" ht="13.5" customHeight="1" x14ac:dyDescent="0.3"/>
    <row r="189" ht="13.5" customHeight="1" x14ac:dyDescent="0.3"/>
    <row r="190" ht="13.5" customHeight="1" x14ac:dyDescent="0.3"/>
    <row r="191" ht="13.5" customHeight="1" x14ac:dyDescent="0.3"/>
    <row r="192" ht="13.5" customHeight="1" x14ac:dyDescent="0.3"/>
    <row r="193" ht="13.5" customHeight="1" x14ac:dyDescent="0.3"/>
    <row r="194" ht="13.5" customHeight="1" x14ac:dyDescent="0.3"/>
    <row r="195" ht="13.5" customHeight="1" x14ac:dyDescent="0.3"/>
    <row r="196" ht="13.5" customHeight="1" x14ac:dyDescent="0.3"/>
    <row r="197" ht="13.5" customHeight="1" x14ac:dyDescent="0.3"/>
    <row r="198" ht="13.5" customHeight="1" x14ac:dyDescent="0.3"/>
    <row r="199" ht="13.5" customHeight="1" x14ac:dyDescent="0.3"/>
    <row r="200" ht="13.5" customHeight="1" x14ac:dyDescent="0.3"/>
    <row r="201" ht="13.5" customHeight="1" x14ac:dyDescent="0.3"/>
    <row r="202" ht="13.5" customHeight="1" x14ac:dyDescent="0.3"/>
    <row r="203" ht="13.5" customHeight="1" x14ac:dyDescent="0.3"/>
    <row r="204" ht="13.5" customHeight="1" x14ac:dyDescent="0.3"/>
    <row r="205" ht="13.5" customHeight="1" x14ac:dyDescent="0.3"/>
    <row r="206" ht="13.5" customHeight="1" x14ac:dyDescent="0.3"/>
    <row r="207" ht="13.5" customHeight="1" x14ac:dyDescent="0.3"/>
    <row r="208" ht="13.5" customHeight="1" x14ac:dyDescent="0.3"/>
    <row r="209" ht="13.5" customHeight="1" x14ac:dyDescent="0.3"/>
    <row r="210" ht="13.5" customHeight="1" x14ac:dyDescent="0.3"/>
    <row r="211" ht="13.5" customHeight="1" x14ac:dyDescent="0.3"/>
    <row r="212" ht="13.5" customHeight="1" x14ac:dyDescent="0.3"/>
    <row r="213" ht="13.5" customHeight="1" x14ac:dyDescent="0.3"/>
    <row r="214" ht="13.5" customHeight="1" x14ac:dyDescent="0.3"/>
    <row r="215" ht="13.5" customHeight="1" x14ac:dyDescent="0.3"/>
    <row r="216" ht="13.5" customHeight="1" x14ac:dyDescent="0.3"/>
    <row r="217" ht="13.5" customHeight="1" x14ac:dyDescent="0.3"/>
    <row r="218" ht="13.5" customHeight="1" x14ac:dyDescent="0.3"/>
    <row r="219" ht="13.5" customHeight="1" x14ac:dyDescent="0.3"/>
    <row r="220" ht="13.5" customHeight="1" x14ac:dyDescent="0.3"/>
    <row r="221" ht="13.5" customHeight="1" x14ac:dyDescent="0.3"/>
    <row r="222" ht="13.5" customHeight="1" x14ac:dyDescent="0.3"/>
    <row r="223" ht="13.5" customHeight="1" x14ac:dyDescent="0.3"/>
    <row r="224" ht="13.5" customHeight="1" x14ac:dyDescent="0.3"/>
    <row r="225" ht="13.5" customHeight="1" x14ac:dyDescent="0.3"/>
    <row r="226" ht="13.5" customHeight="1" x14ac:dyDescent="0.3"/>
    <row r="227" ht="13.5" customHeight="1" x14ac:dyDescent="0.3"/>
    <row r="228" ht="13.5" customHeight="1" x14ac:dyDescent="0.3"/>
    <row r="229" ht="13.5" customHeight="1" x14ac:dyDescent="0.3"/>
    <row r="230" ht="13.5" customHeight="1" x14ac:dyDescent="0.3"/>
    <row r="231" ht="13.5" customHeight="1" x14ac:dyDescent="0.3"/>
    <row r="232" ht="13.5" customHeight="1" x14ac:dyDescent="0.3"/>
    <row r="233" ht="13.5" customHeight="1" x14ac:dyDescent="0.3"/>
    <row r="234" ht="13.5" customHeight="1" x14ac:dyDescent="0.3"/>
    <row r="235" ht="13.5" customHeight="1" x14ac:dyDescent="0.3"/>
    <row r="236" ht="13.5" customHeight="1" x14ac:dyDescent="0.3"/>
    <row r="237" ht="13.5" customHeight="1" x14ac:dyDescent="0.3"/>
    <row r="238" ht="13.5" customHeight="1" x14ac:dyDescent="0.3"/>
    <row r="239" ht="13.5" customHeight="1" x14ac:dyDescent="0.3"/>
    <row r="240" ht="13.5" customHeight="1" x14ac:dyDescent="0.3"/>
    <row r="241" ht="13.5" customHeight="1" x14ac:dyDescent="0.3"/>
    <row r="242" ht="13.5" customHeight="1" x14ac:dyDescent="0.3"/>
    <row r="243" ht="13.5" customHeight="1" x14ac:dyDescent="0.3"/>
    <row r="244" ht="13.5" customHeight="1" x14ac:dyDescent="0.3"/>
    <row r="245" ht="13.5" customHeight="1" x14ac:dyDescent="0.3"/>
    <row r="246" ht="13.5" customHeight="1" x14ac:dyDescent="0.3"/>
    <row r="247" ht="13.5" customHeight="1" x14ac:dyDescent="0.3"/>
    <row r="248" ht="13.5" customHeight="1" x14ac:dyDescent="0.3"/>
    <row r="249" ht="13.5" customHeight="1" x14ac:dyDescent="0.3"/>
    <row r="250" ht="13.5" customHeight="1" x14ac:dyDescent="0.3"/>
    <row r="251" ht="13.5" customHeight="1" x14ac:dyDescent="0.3"/>
    <row r="252" ht="13.5" customHeight="1" x14ac:dyDescent="0.3"/>
    <row r="253" ht="13.5" customHeight="1" x14ac:dyDescent="0.3"/>
    <row r="254" ht="13.5" customHeight="1" x14ac:dyDescent="0.3"/>
    <row r="255" ht="13.5" customHeight="1" x14ac:dyDescent="0.3"/>
    <row r="256" ht="13.5" customHeight="1" x14ac:dyDescent="0.3"/>
    <row r="257" ht="13.5" customHeight="1" x14ac:dyDescent="0.3"/>
    <row r="258" ht="13.5" customHeight="1" x14ac:dyDescent="0.3"/>
    <row r="259" ht="13.5" customHeight="1" x14ac:dyDescent="0.3"/>
    <row r="260" ht="13.5" customHeight="1" x14ac:dyDescent="0.3"/>
    <row r="261" ht="13.5" customHeight="1" x14ac:dyDescent="0.3"/>
    <row r="262" ht="13.5" customHeight="1" x14ac:dyDescent="0.3"/>
    <row r="263" ht="13.5" customHeight="1" x14ac:dyDescent="0.3"/>
    <row r="264" ht="13.5" customHeight="1" x14ac:dyDescent="0.3"/>
    <row r="265" ht="13.5" customHeight="1" x14ac:dyDescent="0.3"/>
    <row r="266" ht="13.5" customHeight="1" x14ac:dyDescent="0.3"/>
    <row r="267" ht="13.5" customHeight="1" x14ac:dyDescent="0.3"/>
    <row r="268" ht="13.5" customHeight="1" x14ac:dyDescent="0.3"/>
    <row r="269" ht="13.5" customHeight="1" x14ac:dyDescent="0.3"/>
    <row r="270" ht="13.5" customHeight="1" x14ac:dyDescent="0.3"/>
    <row r="271" ht="13.5" customHeight="1" x14ac:dyDescent="0.3"/>
    <row r="272" ht="13.5" customHeight="1" x14ac:dyDescent="0.3"/>
    <row r="273" ht="13.5" customHeight="1" x14ac:dyDescent="0.3"/>
    <row r="274" ht="13.5" customHeight="1" x14ac:dyDescent="0.3"/>
    <row r="275" ht="13.5" customHeight="1" x14ac:dyDescent="0.3"/>
    <row r="276" ht="13.5" customHeight="1" x14ac:dyDescent="0.3"/>
    <row r="277" ht="13.5" customHeight="1" x14ac:dyDescent="0.3"/>
    <row r="278" ht="13.5" customHeight="1" x14ac:dyDescent="0.3"/>
    <row r="279" ht="13.5" customHeight="1" x14ac:dyDescent="0.3"/>
    <row r="280" ht="13.5" customHeight="1" x14ac:dyDescent="0.3"/>
    <row r="281" ht="13.5" customHeight="1" x14ac:dyDescent="0.3"/>
    <row r="282" ht="13.5" customHeight="1" x14ac:dyDescent="0.3"/>
    <row r="283" ht="13.5" customHeight="1" x14ac:dyDescent="0.3"/>
    <row r="284" ht="13.5" customHeight="1" x14ac:dyDescent="0.3"/>
    <row r="285" ht="13.5" customHeight="1" x14ac:dyDescent="0.3"/>
    <row r="286" ht="13.5" customHeight="1" x14ac:dyDescent="0.3"/>
    <row r="287" ht="13.5" customHeight="1" x14ac:dyDescent="0.3"/>
    <row r="288" ht="13.5" customHeight="1" x14ac:dyDescent="0.3"/>
    <row r="289" ht="13.5" customHeight="1" x14ac:dyDescent="0.3"/>
    <row r="290" ht="13.5" customHeight="1" x14ac:dyDescent="0.3"/>
    <row r="291" ht="13.5" customHeight="1" x14ac:dyDescent="0.3"/>
    <row r="292" ht="13.5" customHeight="1" x14ac:dyDescent="0.3"/>
    <row r="293" ht="13.5" customHeight="1" x14ac:dyDescent="0.3"/>
    <row r="294" ht="13.5" customHeight="1" x14ac:dyDescent="0.3"/>
    <row r="295" ht="13.5" customHeight="1" x14ac:dyDescent="0.3"/>
    <row r="296" ht="13.5" customHeight="1" x14ac:dyDescent="0.3"/>
    <row r="297" ht="13.5" customHeight="1" x14ac:dyDescent="0.3"/>
    <row r="298" ht="13.5" customHeight="1" x14ac:dyDescent="0.3"/>
    <row r="299" ht="13.5" customHeight="1" x14ac:dyDescent="0.3"/>
    <row r="300" ht="13.5" customHeight="1" x14ac:dyDescent="0.3"/>
    <row r="301" ht="13.5" customHeight="1" x14ac:dyDescent="0.3"/>
    <row r="302" ht="13.5" customHeight="1" x14ac:dyDescent="0.3"/>
    <row r="303" ht="13.5" customHeight="1" x14ac:dyDescent="0.3"/>
    <row r="304" ht="13.5" customHeight="1" x14ac:dyDescent="0.3"/>
    <row r="305" ht="13.5" customHeight="1" x14ac:dyDescent="0.3"/>
    <row r="306" ht="13.5" customHeight="1" x14ac:dyDescent="0.3"/>
    <row r="307" ht="13.5" customHeight="1" x14ac:dyDescent="0.3"/>
    <row r="308" ht="13.5" customHeight="1" x14ac:dyDescent="0.3"/>
    <row r="309" ht="13.5" customHeight="1" x14ac:dyDescent="0.3"/>
    <row r="310" ht="13.5" customHeight="1" x14ac:dyDescent="0.3"/>
    <row r="311" ht="13.5" customHeight="1" x14ac:dyDescent="0.3"/>
    <row r="312" ht="13.5" customHeight="1" x14ac:dyDescent="0.3"/>
    <row r="313" ht="13.5" customHeight="1" x14ac:dyDescent="0.3"/>
    <row r="314" ht="13.5" customHeight="1" x14ac:dyDescent="0.3"/>
    <row r="315" ht="13.5" customHeight="1" x14ac:dyDescent="0.3"/>
    <row r="316" ht="13.5" customHeight="1" x14ac:dyDescent="0.3"/>
    <row r="317" ht="13.5" customHeight="1" x14ac:dyDescent="0.3"/>
    <row r="318" ht="13.5" customHeight="1" x14ac:dyDescent="0.3"/>
    <row r="319" ht="13.5" customHeight="1" x14ac:dyDescent="0.3"/>
    <row r="320" ht="13.5" customHeight="1" x14ac:dyDescent="0.3"/>
    <row r="321" ht="13.5" customHeight="1" x14ac:dyDescent="0.3"/>
    <row r="322" ht="13.5" customHeight="1" x14ac:dyDescent="0.3"/>
    <row r="323" ht="13.5" customHeight="1" x14ac:dyDescent="0.3"/>
    <row r="324" ht="13.5" customHeight="1" x14ac:dyDescent="0.3"/>
    <row r="325" ht="13.5" customHeight="1" x14ac:dyDescent="0.3"/>
    <row r="326" ht="13.5" customHeight="1" x14ac:dyDescent="0.3"/>
    <row r="327" ht="13.5" customHeight="1" x14ac:dyDescent="0.3"/>
    <row r="328" ht="13.5" customHeight="1" x14ac:dyDescent="0.3"/>
    <row r="329" ht="13.5" customHeight="1" x14ac:dyDescent="0.3"/>
    <row r="330" ht="13.5" customHeight="1" x14ac:dyDescent="0.3"/>
    <row r="331" ht="13.5" customHeight="1" x14ac:dyDescent="0.3"/>
    <row r="332" ht="13.5" customHeight="1" x14ac:dyDescent="0.3"/>
    <row r="333" ht="13.5" customHeight="1" x14ac:dyDescent="0.3"/>
    <row r="334" ht="13.5" customHeight="1" x14ac:dyDescent="0.3"/>
    <row r="335" ht="13.5" customHeight="1" x14ac:dyDescent="0.3"/>
    <row r="336" ht="13.5" customHeight="1" x14ac:dyDescent="0.3"/>
    <row r="337" ht="13.5" customHeight="1" x14ac:dyDescent="0.3"/>
    <row r="338" ht="13.5" customHeight="1" x14ac:dyDescent="0.3"/>
    <row r="339" ht="13.5" customHeight="1" x14ac:dyDescent="0.3"/>
    <row r="340" ht="13.5" customHeight="1" x14ac:dyDescent="0.3"/>
    <row r="341" ht="13.5" customHeight="1" x14ac:dyDescent="0.3"/>
    <row r="342" ht="13.5" customHeight="1" x14ac:dyDescent="0.3"/>
    <row r="343" ht="13.5" customHeight="1" x14ac:dyDescent="0.3"/>
    <row r="344" ht="13.5" customHeight="1" x14ac:dyDescent="0.3"/>
    <row r="345" ht="13.5" customHeight="1" x14ac:dyDescent="0.3"/>
    <row r="346" ht="13.5" customHeight="1" x14ac:dyDescent="0.3"/>
    <row r="347" ht="13.5" customHeight="1" x14ac:dyDescent="0.3"/>
    <row r="348" ht="13.5" customHeight="1" x14ac:dyDescent="0.3"/>
    <row r="349" ht="13.5" customHeight="1" x14ac:dyDescent="0.3"/>
    <row r="350" ht="13.5" customHeight="1" x14ac:dyDescent="0.3"/>
    <row r="351" ht="13.5" customHeight="1" x14ac:dyDescent="0.3"/>
    <row r="352" ht="13.5" customHeight="1" x14ac:dyDescent="0.3"/>
    <row r="353" ht="13.5" customHeight="1" x14ac:dyDescent="0.3"/>
    <row r="354" ht="13.5" customHeight="1" x14ac:dyDescent="0.3"/>
    <row r="355" ht="13.5" customHeight="1" x14ac:dyDescent="0.3"/>
    <row r="356" ht="13.5" customHeight="1" x14ac:dyDescent="0.3"/>
    <row r="357" ht="13.5" customHeight="1" x14ac:dyDescent="0.3"/>
    <row r="358" ht="13.5" customHeight="1" x14ac:dyDescent="0.3"/>
    <row r="359" ht="13.5" customHeight="1" x14ac:dyDescent="0.3"/>
    <row r="360" ht="13.5" customHeight="1" x14ac:dyDescent="0.3"/>
    <row r="361" ht="13.5" customHeight="1" x14ac:dyDescent="0.3"/>
    <row r="362" ht="13.5" customHeight="1" x14ac:dyDescent="0.3"/>
    <row r="363" ht="13.5" customHeight="1" x14ac:dyDescent="0.3"/>
    <row r="364" ht="13.5" customHeight="1" x14ac:dyDescent="0.3"/>
    <row r="365" ht="13.5" customHeight="1" x14ac:dyDescent="0.3"/>
    <row r="366" ht="13.5" customHeight="1" x14ac:dyDescent="0.3"/>
    <row r="367" ht="13.5" customHeight="1" x14ac:dyDescent="0.3"/>
    <row r="368" ht="13.5" customHeight="1" x14ac:dyDescent="0.3"/>
    <row r="369" ht="13.5" customHeight="1" x14ac:dyDescent="0.3"/>
    <row r="370" ht="13.5" customHeight="1" x14ac:dyDescent="0.3"/>
    <row r="371" ht="13.5" customHeight="1" x14ac:dyDescent="0.3"/>
    <row r="372" ht="13.5" customHeight="1" x14ac:dyDescent="0.3"/>
    <row r="373" ht="13.5" customHeight="1" x14ac:dyDescent="0.3"/>
    <row r="374" ht="13.5" customHeight="1" x14ac:dyDescent="0.3"/>
    <row r="375" ht="13.5" customHeight="1" x14ac:dyDescent="0.3"/>
    <row r="376" ht="13.5" customHeight="1" x14ac:dyDescent="0.3"/>
    <row r="377" ht="13.5" customHeight="1" x14ac:dyDescent="0.3"/>
    <row r="378" ht="13.5" customHeight="1" x14ac:dyDescent="0.3"/>
    <row r="379" ht="13.5" customHeight="1" x14ac:dyDescent="0.3"/>
    <row r="380" ht="13.5" customHeight="1" x14ac:dyDescent="0.3"/>
    <row r="381" ht="13.5" customHeight="1" x14ac:dyDescent="0.3"/>
    <row r="382" ht="13.5" customHeight="1" x14ac:dyDescent="0.3"/>
    <row r="383" ht="13.5" customHeight="1" x14ac:dyDescent="0.3"/>
    <row r="384" ht="13.5" customHeight="1" x14ac:dyDescent="0.3"/>
    <row r="385" ht="13.5" customHeight="1" x14ac:dyDescent="0.3"/>
    <row r="386" ht="13.5" customHeight="1" x14ac:dyDescent="0.3"/>
    <row r="387" ht="13.5" customHeight="1" x14ac:dyDescent="0.3"/>
    <row r="388" ht="13.5" customHeight="1" x14ac:dyDescent="0.3"/>
    <row r="389" ht="13.5" customHeight="1" x14ac:dyDescent="0.3"/>
    <row r="390" ht="13.5" customHeight="1" x14ac:dyDescent="0.3"/>
    <row r="391" ht="13.5" customHeight="1" x14ac:dyDescent="0.3"/>
    <row r="392" ht="13.5" customHeight="1" x14ac:dyDescent="0.3"/>
    <row r="393" ht="13.5" customHeight="1" x14ac:dyDescent="0.3"/>
    <row r="394" ht="13.5" customHeight="1" x14ac:dyDescent="0.3"/>
    <row r="395" ht="13.5" customHeight="1" x14ac:dyDescent="0.3"/>
    <row r="396" ht="13.5" customHeight="1" x14ac:dyDescent="0.3"/>
    <row r="397" ht="13.5" customHeight="1" x14ac:dyDescent="0.3"/>
    <row r="398" ht="13.5" customHeight="1" x14ac:dyDescent="0.3"/>
    <row r="399" ht="13.5" customHeight="1" x14ac:dyDescent="0.3"/>
    <row r="400" ht="13.5" customHeight="1" x14ac:dyDescent="0.3"/>
    <row r="401" ht="13.5" customHeight="1" x14ac:dyDescent="0.3"/>
    <row r="402" ht="13.5" customHeight="1" x14ac:dyDescent="0.3"/>
    <row r="403" ht="13.5" customHeight="1" x14ac:dyDescent="0.3"/>
    <row r="404" ht="13.5" customHeight="1" x14ac:dyDescent="0.3"/>
    <row r="405" ht="13.5" customHeight="1" x14ac:dyDescent="0.3"/>
    <row r="406" ht="13.5" customHeight="1" x14ac:dyDescent="0.3"/>
    <row r="407" ht="13.5" customHeight="1" x14ac:dyDescent="0.3"/>
    <row r="408" ht="13.5" customHeight="1" x14ac:dyDescent="0.3"/>
    <row r="409" ht="13.5" customHeight="1" x14ac:dyDescent="0.3"/>
    <row r="410" ht="13.5" customHeight="1" x14ac:dyDescent="0.3"/>
    <row r="411" ht="13.5" customHeight="1" x14ac:dyDescent="0.3"/>
    <row r="412" ht="13.5" customHeight="1" x14ac:dyDescent="0.3"/>
    <row r="413" ht="13.5" customHeight="1" x14ac:dyDescent="0.3"/>
    <row r="414" ht="13.5" customHeight="1" x14ac:dyDescent="0.3"/>
    <row r="415" ht="13.5" customHeight="1" x14ac:dyDescent="0.3"/>
    <row r="416" ht="13.5" customHeight="1" x14ac:dyDescent="0.3"/>
    <row r="417" ht="13.5" customHeight="1" x14ac:dyDescent="0.3"/>
    <row r="418" ht="13.5" customHeight="1" x14ac:dyDescent="0.3"/>
    <row r="419" ht="13.5" customHeight="1" x14ac:dyDescent="0.3"/>
    <row r="420" ht="13.5" customHeight="1" x14ac:dyDescent="0.3"/>
    <row r="421" ht="13.5" customHeight="1" x14ac:dyDescent="0.3"/>
    <row r="422" ht="13.5" customHeight="1" x14ac:dyDescent="0.3"/>
    <row r="423" ht="13.5" customHeight="1" x14ac:dyDescent="0.3"/>
    <row r="424" ht="13.5" customHeight="1" x14ac:dyDescent="0.3"/>
    <row r="425" ht="13.5" customHeight="1" x14ac:dyDescent="0.3"/>
    <row r="426" ht="13.5" customHeight="1" x14ac:dyDescent="0.3"/>
    <row r="427" ht="13.5" customHeight="1" x14ac:dyDescent="0.3"/>
    <row r="428" ht="13.5" customHeight="1" x14ac:dyDescent="0.3"/>
    <row r="429" ht="13.5" customHeight="1" x14ac:dyDescent="0.3"/>
    <row r="430" ht="13.5" customHeight="1" x14ac:dyDescent="0.3"/>
    <row r="431" ht="13.5" customHeight="1" x14ac:dyDescent="0.3"/>
    <row r="432" ht="13.5" customHeight="1" x14ac:dyDescent="0.3"/>
    <row r="433" ht="13.5" customHeight="1" x14ac:dyDescent="0.3"/>
    <row r="434" ht="13.5" customHeight="1" x14ac:dyDescent="0.3"/>
    <row r="435" ht="13.5" customHeight="1" x14ac:dyDescent="0.3"/>
    <row r="436" ht="13.5" customHeight="1" x14ac:dyDescent="0.3"/>
    <row r="437" ht="13.5" customHeight="1" x14ac:dyDescent="0.3"/>
    <row r="438" ht="13.5" customHeight="1" x14ac:dyDescent="0.3"/>
    <row r="439" ht="13.5" customHeight="1" x14ac:dyDescent="0.3"/>
    <row r="440" ht="13.5" customHeight="1" x14ac:dyDescent="0.3"/>
    <row r="441" ht="13.5" customHeight="1" x14ac:dyDescent="0.3"/>
    <row r="442" ht="13.5" customHeight="1" x14ac:dyDescent="0.3"/>
    <row r="443" ht="13.5" customHeight="1" x14ac:dyDescent="0.3"/>
    <row r="444" ht="13.5" customHeight="1" x14ac:dyDescent="0.3"/>
    <row r="445" ht="13.5" customHeight="1" x14ac:dyDescent="0.3"/>
    <row r="446" ht="13.5" customHeight="1" x14ac:dyDescent="0.3"/>
    <row r="447" ht="13.5" customHeight="1" x14ac:dyDescent="0.3"/>
    <row r="448" ht="13.5" customHeight="1" x14ac:dyDescent="0.3"/>
    <row r="449" ht="13.5" customHeight="1" x14ac:dyDescent="0.3"/>
    <row r="450" ht="13.5" customHeight="1" x14ac:dyDescent="0.3"/>
    <row r="451" ht="13.5" customHeight="1" x14ac:dyDescent="0.3"/>
    <row r="452" ht="13.5" customHeight="1" x14ac:dyDescent="0.3"/>
    <row r="453" ht="13.5" customHeight="1" x14ac:dyDescent="0.3"/>
    <row r="454" ht="13.5" customHeight="1" x14ac:dyDescent="0.3"/>
    <row r="455" ht="13.5" customHeight="1" x14ac:dyDescent="0.3"/>
    <row r="456" ht="13.5" customHeight="1" x14ac:dyDescent="0.3"/>
    <row r="457" ht="13.5" customHeight="1" x14ac:dyDescent="0.3"/>
    <row r="458" ht="13.5" customHeight="1" x14ac:dyDescent="0.3"/>
    <row r="459" ht="13.5" customHeight="1" x14ac:dyDescent="0.3"/>
    <row r="460" ht="13.5" customHeight="1" x14ac:dyDescent="0.3"/>
    <row r="461" ht="13.5" customHeight="1" x14ac:dyDescent="0.3"/>
    <row r="462" ht="13.5" customHeight="1" x14ac:dyDescent="0.3"/>
    <row r="463" ht="13.5" customHeight="1" x14ac:dyDescent="0.3"/>
    <row r="464" ht="13.5" customHeight="1" x14ac:dyDescent="0.3"/>
    <row r="465" ht="13.5" customHeight="1" x14ac:dyDescent="0.3"/>
    <row r="466" ht="13.5" customHeight="1" x14ac:dyDescent="0.3"/>
    <row r="467" ht="13.5" customHeight="1" x14ac:dyDescent="0.3"/>
    <row r="468" ht="13.5" customHeight="1" x14ac:dyDescent="0.3"/>
    <row r="469" ht="13.5" customHeight="1" x14ac:dyDescent="0.3"/>
    <row r="470" ht="13.5" customHeight="1" x14ac:dyDescent="0.3"/>
    <row r="471" ht="13.5" customHeight="1" x14ac:dyDescent="0.3"/>
    <row r="472" ht="13.5" customHeight="1" x14ac:dyDescent="0.3"/>
    <row r="473" ht="13.5" customHeight="1" x14ac:dyDescent="0.3"/>
    <row r="474" ht="13.5" customHeight="1" x14ac:dyDescent="0.3"/>
    <row r="475" ht="13.5" customHeight="1" x14ac:dyDescent="0.3"/>
    <row r="476" ht="13.5" customHeight="1" x14ac:dyDescent="0.3"/>
    <row r="477" ht="13.5" customHeight="1" x14ac:dyDescent="0.3"/>
    <row r="478" ht="13.5" customHeight="1" x14ac:dyDescent="0.3"/>
    <row r="479" ht="13.5" customHeight="1" x14ac:dyDescent="0.3"/>
    <row r="480" ht="13.5" customHeight="1" x14ac:dyDescent="0.3"/>
    <row r="481" ht="13.5" customHeight="1" x14ac:dyDescent="0.3"/>
    <row r="482" ht="13.5" customHeight="1" x14ac:dyDescent="0.3"/>
    <row r="483" ht="13.5" customHeight="1" x14ac:dyDescent="0.3"/>
    <row r="484" ht="13.5" customHeight="1" x14ac:dyDescent="0.3"/>
    <row r="485" ht="13.5" customHeight="1" x14ac:dyDescent="0.3"/>
    <row r="486" ht="13.5" customHeight="1" x14ac:dyDescent="0.3"/>
    <row r="487" ht="13.5" customHeight="1" x14ac:dyDescent="0.3"/>
    <row r="488" ht="13.5" customHeight="1" x14ac:dyDescent="0.3"/>
    <row r="489" ht="13.5" customHeight="1" x14ac:dyDescent="0.3"/>
    <row r="490" ht="13.5" customHeight="1" x14ac:dyDescent="0.3"/>
    <row r="491" ht="13.5" customHeight="1" x14ac:dyDescent="0.3"/>
    <row r="492" ht="13.5" customHeight="1" x14ac:dyDescent="0.3"/>
    <row r="493" ht="13.5" customHeight="1" x14ac:dyDescent="0.3"/>
    <row r="494" ht="13.5" customHeight="1" x14ac:dyDescent="0.3"/>
    <row r="495" ht="13.5" customHeight="1" x14ac:dyDescent="0.3"/>
    <row r="496" ht="13.5" customHeight="1" x14ac:dyDescent="0.3"/>
    <row r="497" ht="13.5" customHeight="1" x14ac:dyDescent="0.3"/>
    <row r="498" ht="13.5" customHeight="1" x14ac:dyDescent="0.3"/>
    <row r="499" ht="13.5" customHeight="1" x14ac:dyDescent="0.3"/>
    <row r="500" ht="13.5" customHeight="1" x14ac:dyDescent="0.3"/>
    <row r="501" ht="13.5" customHeight="1" x14ac:dyDescent="0.3"/>
    <row r="502" ht="13.5" customHeight="1" x14ac:dyDescent="0.3"/>
    <row r="503" ht="13.5" customHeight="1" x14ac:dyDescent="0.3"/>
    <row r="504" ht="13.5" customHeight="1" x14ac:dyDescent="0.3"/>
    <row r="505" ht="13.5" customHeight="1" x14ac:dyDescent="0.3"/>
    <row r="506" ht="13.5" customHeight="1" x14ac:dyDescent="0.3"/>
    <row r="507" ht="13.5" customHeight="1" x14ac:dyDescent="0.3"/>
    <row r="508" ht="13.5" customHeight="1" x14ac:dyDescent="0.3"/>
    <row r="509" ht="13.5" customHeight="1" x14ac:dyDescent="0.3"/>
    <row r="510" ht="13.5" customHeight="1" x14ac:dyDescent="0.3"/>
    <row r="511" ht="13.5" customHeight="1" x14ac:dyDescent="0.3"/>
    <row r="512" ht="13.5" customHeight="1" x14ac:dyDescent="0.3"/>
    <row r="513" ht="13.5" customHeight="1" x14ac:dyDescent="0.3"/>
    <row r="514" ht="13.5" customHeight="1" x14ac:dyDescent="0.3"/>
    <row r="515" ht="13.5" customHeight="1" x14ac:dyDescent="0.3"/>
    <row r="516" ht="13.5" customHeight="1" x14ac:dyDescent="0.3"/>
    <row r="517" ht="13.5" customHeight="1" x14ac:dyDescent="0.3"/>
    <row r="518" ht="13.5" customHeight="1" x14ac:dyDescent="0.3"/>
    <row r="519" ht="13.5" customHeight="1" x14ac:dyDescent="0.3"/>
    <row r="520" ht="13.5" customHeight="1" x14ac:dyDescent="0.3"/>
    <row r="521" ht="13.5" customHeight="1" x14ac:dyDescent="0.3"/>
    <row r="522" ht="13.5" customHeight="1" x14ac:dyDescent="0.3"/>
    <row r="523" ht="13.5" customHeight="1" x14ac:dyDescent="0.3"/>
    <row r="524" ht="13.5" customHeight="1" x14ac:dyDescent="0.3"/>
    <row r="525" ht="13.5" customHeight="1" x14ac:dyDescent="0.3"/>
    <row r="526" ht="13.5" customHeight="1" x14ac:dyDescent="0.3"/>
    <row r="527" ht="13.5" customHeight="1" x14ac:dyDescent="0.3"/>
    <row r="528" ht="13.5" customHeight="1" x14ac:dyDescent="0.3"/>
    <row r="529" ht="13.5" customHeight="1" x14ac:dyDescent="0.3"/>
    <row r="530" ht="13.5" customHeight="1" x14ac:dyDescent="0.3"/>
    <row r="531" ht="13.5" customHeight="1" x14ac:dyDescent="0.3"/>
    <row r="532" ht="13.5" customHeight="1" x14ac:dyDescent="0.3"/>
    <row r="533" ht="13.5" customHeight="1" x14ac:dyDescent="0.3"/>
    <row r="534" ht="13.5" customHeight="1" x14ac:dyDescent="0.3"/>
    <row r="535" ht="13.5" customHeight="1" x14ac:dyDescent="0.3"/>
    <row r="536" ht="13.5" customHeight="1" x14ac:dyDescent="0.3"/>
    <row r="537" ht="13.5" customHeight="1" x14ac:dyDescent="0.3"/>
    <row r="538" ht="13.5" customHeight="1" x14ac:dyDescent="0.3"/>
    <row r="539" ht="13.5" customHeight="1" x14ac:dyDescent="0.3"/>
    <row r="540" ht="13.5" customHeight="1" x14ac:dyDescent="0.3"/>
    <row r="541" ht="13.5" customHeight="1" x14ac:dyDescent="0.3"/>
    <row r="542" ht="13.5" customHeight="1" x14ac:dyDescent="0.3"/>
    <row r="543" ht="13.5" customHeight="1" x14ac:dyDescent="0.3"/>
    <row r="544" ht="13.5" customHeight="1" x14ac:dyDescent="0.3"/>
    <row r="545" ht="13.5" customHeight="1" x14ac:dyDescent="0.3"/>
    <row r="546" ht="13.5" customHeight="1" x14ac:dyDescent="0.3"/>
    <row r="547" ht="13.5" customHeight="1" x14ac:dyDescent="0.3"/>
    <row r="548" ht="13.5" customHeight="1" x14ac:dyDescent="0.3"/>
    <row r="549" ht="13.5" customHeight="1" x14ac:dyDescent="0.3"/>
    <row r="550" ht="13.5" customHeight="1" x14ac:dyDescent="0.3"/>
    <row r="551" ht="13.5" customHeight="1" x14ac:dyDescent="0.3"/>
    <row r="552" ht="13.5" customHeight="1" x14ac:dyDescent="0.3"/>
    <row r="553" ht="13.5" customHeight="1" x14ac:dyDescent="0.3"/>
    <row r="554" ht="13.5" customHeight="1" x14ac:dyDescent="0.3"/>
    <row r="555" ht="13.5" customHeight="1" x14ac:dyDescent="0.3"/>
    <row r="556" ht="13.5" customHeight="1" x14ac:dyDescent="0.3"/>
    <row r="557" ht="13.5" customHeight="1" x14ac:dyDescent="0.3"/>
    <row r="558" ht="13.5" customHeight="1" x14ac:dyDescent="0.3"/>
    <row r="559" ht="13.5" customHeight="1" x14ac:dyDescent="0.3"/>
    <row r="560" ht="13.5" customHeight="1" x14ac:dyDescent="0.3"/>
    <row r="561" ht="13.5" customHeight="1" x14ac:dyDescent="0.3"/>
    <row r="562" ht="13.5" customHeight="1" x14ac:dyDescent="0.3"/>
    <row r="563" ht="13.5" customHeight="1" x14ac:dyDescent="0.3"/>
    <row r="564" ht="13.5" customHeight="1" x14ac:dyDescent="0.3"/>
    <row r="565" ht="13.5" customHeight="1" x14ac:dyDescent="0.3"/>
    <row r="566" ht="13.5" customHeight="1" x14ac:dyDescent="0.3"/>
    <row r="567" ht="13.5" customHeight="1" x14ac:dyDescent="0.3"/>
    <row r="568" ht="13.5" customHeight="1" x14ac:dyDescent="0.3"/>
    <row r="569" ht="13.5" customHeight="1" x14ac:dyDescent="0.3"/>
    <row r="570" ht="13.5" customHeight="1" x14ac:dyDescent="0.3"/>
    <row r="571" ht="13.5" customHeight="1" x14ac:dyDescent="0.3"/>
    <row r="572" ht="13.5" customHeight="1" x14ac:dyDescent="0.3"/>
    <row r="573" ht="13.5" customHeight="1" x14ac:dyDescent="0.3"/>
    <row r="574" ht="13.5" customHeight="1" x14ac:dyDescent="0.3"/>
    <row r="575" ht="13.5" customHeight="1" x14ac:dyDescent="0.3"/>
    <row r="576" ht="13.5" customHeight="1" x14ac:dyDescent="0.3"/>
    <row r="577" ht="13.5" customHeight="1" x14ac:dyDescent="0.3"/>
    <row r="578" ht="13.5" customHeight="1" x14ac:dyDescent="0.3"/>
    <row r="579" ht="13.5" customHeight="1" x14ac:dyDescent="0.3"/>
    <row r="580" ht="13.5" customHeight="1" x14ac:dyDescent="0.3"/>
    <row r="581" ht="13.5" customHeight="1" x14ac:dyDescent="0.3"/>
    <row r="582" ht="13.5" customHeight="1" x14ac:dyDescent="0.3"/>
    <row r="583" ht="13.5" customHeight="1" x14ac:dyDescent="0.3"/>
    <row r="584" ht="13.5" customHeight="1" x14ac:dyDescent="0.3"/>
    <row r="585" ht="13.5" customHeight="1" x14ac:dyDescent="0.3"/>
    <row r="586" ht="13.5" customHeight="1" x14ac:dyDescent="0.3"/>
    <row r="587" ht="13.5" customHeight="1" x14ac:dyDescent="0.3"/>
    <row r="588" ht="13.5" customHeight="1" x14ac:dyDescent="0.3"/>
    <row r="589" ht="13.5" customHeight="1" x14ac:dyDescent="0.3"/>
    <row r="590" ht="13.5" customHeight="1" x14ac:dyDescent="0.3"/>
    <row r="591" ht="13.5" customHeight="1" x14ac:dyDescent="0.3"/>
    <row r="592" ht="13.5" customHeight="1" x14ac:dyDescent="0.3"/>
    <row r="593" ht="13.5" customHeight="1" x14ac:dyDescent="0.3"/>
    <row r="594" ht="13.5" customHeight="1" x14ac:dyDescent="0.3"/>
    <row r="595" ht="13.5" customHeight="1" x14ac:dyDescent="0.3"/>
    <row r="596" ht="13.5" customHeight="1" x14ac:dyDescent="0.3"/>
    <row r="597" ht="13.5" customHeight="1" x14ac:dyDescent="0.3"/>
    <row r="598" ht="13.5" customHeight="1" x14ac:dyDescent="0.3"/>
    <row r="599" ht="13.5" customHeight="1" x14ac:dyDescent="0.3"/>
    <row r="600" ht="13.5" customHeight="1" x14ac:dyDescent="0.3"/>
    <row r="601" ht="13.5" customHeight="1" x14ac:dyDescent="0.3"/>
    <row r="602" ht="13.5" customHeight="1" x14ac:dyDescent="0.3"/>
    <row r="603" ht="13.5" customHeight="1" x14ac:dyDescent="0.3"/>
    <row r="604" ht="13.5" customHeight="1" x14ac:dyDescent="0.3"/>
    <row r="605" ht="13.5" customHeight="1" x14ac:dyDescent="0.3"/>
    <row r="606" ht="13.5" customHeight="1" x14ac:dyDescent="0.3"/>
    <row r="607" ht="13.5" customHeight="1" x14ac:dyDescent="0.3"/>
    <row r="608" ht="13.5" customHeight="1" x14ac:dyDescent="0.3"/>
    <row r="609" ht="13.5" customHeight="1" x14ac:dyDescent="0.3"/>
    <row r="610" ht="13.5" customHeight="1" x14ac:dyDescent="0.3"/>
    <row r="611" ht="13.5" customHeight="1" x14ac:dyDescent="0.3"/>
    <row r="612" ht="13.5" customHeight="1" x14ac:dyDescent="0.3"/>
    <row r="613" ht="13.5" customHeight="1" x14ac:dyDescent="0.3"/>
    <row r="614" ht="13.5" customHeight="1" x14ac:dyDescent="0.3"/>
    <row r="615" ht="13.5" customHeight="1" x14ac:dyDescent="0.3"/>
    <row r="616" ht="13.5" customHeight="1" x14ac:dyDescent="0.3"/>
    <row r="617" ht="13.5" customHeight="1" x14ac:dyDescent="0.3"/>
    <row r="618" ht="13.5" customHeight="1" x14ac:dyDescent="0.3"/>
    <row r="619" ht="13.5" customHeight="1" x14ac:dyDescent="0.3"/>
    <row r="620" ht="13.5" customHeight="1" x14ac:dyDescent="0.3"/>
    <row r="621" ht="13.5" customHeight="1" x14ac:dyDescent="0.3"/>
    <row r="622" ht="13.5" customHeight="1" x14ac:dyDescent="0.3"/>
    <row r="623" ht="13.5" customHeight="1" x14ac:dyDescent="0.3"/>
    <row r="624" ht="13.5" customHeight="1" x14ac:dyDescent="0.3"/>
    <row r="625" ht="13.5" customHeight="1" x14ac:dyDescent="0.3"/>
    <row r="626" ht="13.5" customHeight="1" x14ac:dyDescent="0.3"/>
    <row r="627" ht="13.5" customHeight="1" x14ac:dyDescent="0.3"/>
    <row r="628" ht="13.5" customHeight="1" x14ac:dyDescent="0.3"/>
    <row r="629" ht="13.5" customHeight="1" x14ac:dyDescent="0.3"/>
    <row r="630" ht="13.5" customHeight="1" x14ac:dyDescent="0.3"/>
    <row r="631" ht="13.5" customHeight="1" x14ac:dyDescent="0.3"/>
    <row r="632" ht="13.5" customHeight="1" x14ac:dyDescent="0.3"/>
    <row r="633" ht="13.5" customHeight="1" x14ac:dyDescent="0.3"/>
    <row r="634" ht="13.5" customHeight="1" x14ac:dyDescent="0.3"/>
    <row r="635" ht="13.5" customHeight="1" x14ac:dyDescent="0.3"/>
    <row r="636" ht="13.5" customHeight="1" x14ac:dyDescent="0.3"/>
    <row r="637" ht="13.5" customHeight="1" x14ac:dyDescent="0.3"/>
    <row r="638" ht="13.5" customHeight="1" x14ac:dyDescent="0.3"/>
    <row r="639" ht="13.5" customHeight="1" x14ac:dyDescent="0.3"/>
    <row r="640" ht="13.5" customHeight="1" x14ac:dyDescent="0.3"/>
    <row r="641" ht="13.5" customHeight="1" x14ac:dyDescent="0.3"/>
    <row r="642" ht="13.5" customHeight="1" x14ac:dyDescent="0.3"/>
    <row r="643" ht="13.5" customHeight="1" x14ac:dyDescent="0.3"/>
    <row r="644" ht="13.5" customHeight="1" x14ac:dyDescent="0.3"/>
    <row r="645" ht="13.5" customHeight="1" x14ac:dyDescent="0.3"/>
    <row r="646" ht="13.5" customHeight="1" x14ac:dyDescent="0.3"/>
    <row r="647" ht="13.5" customHeight="1" x14ac:dyDescent="0.3"/>
    <row r="648" ht="13.5" customHeight="1" x14ac:dyDescent="0.3"/>
    <row r="649" ht="13.5" customHeight="1" x14ac:dyDescent="0.3"/>
    <row r="650" ht="13.5" customHeight="1" x14ac:dyDescent="0.3"/>
    <row r="651" ht="13.5" customHeight="1" x14ac:dyDescent="0.3"/>
    <row r="652" ht="13.5" customHeight="1" x14ac:dyDescent="0.3"/>
    <row r="653" ht="13.5" customHeight="1" x14ac:dyDescent="0.3"/>
    <row r="654" ht="13.5" customHeight="1" x14ac:dyDescent="0.3"/>
    <row r="655" ht="13.5" customHeight="1" x14ac:dyDescent="0.3"/>
    <row r="656" ht="13.5" customHeight="1" x14ac:dyDescent="0.3"/>
    <row r="657" ht="13.5" customHeight="1" x14ac:dyDescent="0.3"/>
    <row r="658" ht="13.5" customHeight="1" x14ac:dyDescent="0.3"/>
    <row r="659" ht="13.5" customHeight="1" x14ac:dyDescent="0.3"/>
    <row r="660" ht="13.5" customHeight="1" x14ac:dyDescent="0.3"/>
    <row r="661" ht="13.5" customHeight="1" x14ac:dyDescent="0.3"/>
    <row r="662" ht="13.5" customHeight="1" x14ac:dyDescent="0.3"/>
    <row r="663" ht="13.5" customHeight="1" x14ac:dyDescent="0.3"/>
    <row r="664" ht="13.5" customHeight="1" x14ac:dyDescent="0.3"/>
    <row r="665" ht="13.5" customHeight="1" x14ac:dyDescent="0.3"/>
    <row r="666" ht="13.5" customHeight="1" x14ac:dyDescent="0.3"/>
    <row r="667" ht="13.5" customHeight="1" x14ac:dyDescent="0.3"/>
    <row r="668" ht="13.5" customHeight="1" x14ac:dyDescent="0.3"/>
    <row r="669" ht="13.5" customHeight="1" x14ac:dyDescent="0.3"/>
    <row r="670" ht="13.5" customHeight="1" x14ac:dyDescent="0.3"/>
    <row r="671" ht="13.5" customHeight="1" x14ac:dyDescent="0.3"/>
    <row r="672" ht="13.5" customHeight="1" x14ac:dyDescent="0.3"/>
    <row r="673" ht="13.5" customHeight="1" x14ac:dyDescent="0.3"/>
    <row r="674" ht="13.5" customHeight="1" x14ac:dyDescent="0.3"/>
    <row r="675" ht="13.5" customHeight="1" x14ac:dyDescent="0.3"/>
    <row r="676" ht="13.5" customHeight="1" x14ac:dyDescent="0.3"/>
    <row r="677" ht="13.5" customHeight="1" x14ac:dyDescent="0.3"/>
    <row r="678" ht="13.5" customHeight="1" x14ac:dyDescent="0.3"/>
    <row r="679" ht="13.5" customHeight="1" x14ac:dyDescent="0.3"/>
    <row r="680" ht="13.5" customHeight="1" x14ac:dyDescent="0.3"/>
    <row r="681" ht="13.5" customHeight="1" x14ac:dyDescent="0.3"/>
    <row r="682" ht="13.5" customHeight="1" x14ac:dyDescent="0.3"/>
    <row r="683" ht="13.5" customHeight="1" x14ac:dyDescent="0.3"/>
    <row r="684" ht="13.5" customHeight="1" x14ac:dyDescent="0.3"/>
    <row r="685" ht="13.5" customHeight="1" x14ac:dyDescent="0.3"/>
    <row r="686" ht="13.5" customHeight="1" x14ac:dyDescent="0.3"/>
    <row r="687" ht="13.5" customHeight="1" x14ac:dyDescent="0.3"/>
    <row r="688" ht="13.5" customHeight="1" x14ac:dyDescent="0.3"/>
    <row r="689" ht="13.5" customHeight="1" x14ac:dyDescent="0.3"/>
    <row r="690" ht="13.5" customHeight="1" x14ac:dyDescent="0.3"/>
    <row r="691" ht="13.5" customHeight="1" x14ac:dyDescent="0.3"/>
    <row r="692" ht="13.5" customHeight="1" x14ac:dyDescent="0.3"/>
    <row r="693" ht="13.5" customHeight="1" x14ac:dyDescent="0.3"/>
    <row r="694" ht="13.5" customHeight="1" x14ac:dyDescent="0.3"/>
    <row r="695" ht="13.5" customHeight="1" x14ac:dyDescent="0.3"/>
    <row r="696" ht="13.5" customHeight="1" x14ac:dyDescent="0.3"/>
    <row r="697" ht="13.5" customHeight="1" x14ac:dyDescent="0.3"/>
    <row r="698" ht="13.5" customHeight="1" x14ac:dyDescent="0.3"/>
    <row r="699" ht="13.5" customHeight="1" x14ac:dyDescent="0.3"/>
    <row r="700" ht="13.5" customHeight="1" x14ac:dyDescent="0.3"/>
    <row r="701" ht="13.5" customHeight="1" x14ac:dyDescent="0.3"/>
    <row r="702" ht="13.5" customHeight="1" x14ac:dyDescent="0.3"/>
    <row r="703" ht="13.5" customHeight="1" x14ac:dyDescent="0.3"/>
    <row r="704" ht="13.5" customHeight="1" x14ac:dyDescent="0.3"/>
    <row r="705" ht="13.5" customHeight="1" x14ac:dyDescent="0.3"/>
    <row r="706" ht="13.5" customHeight="1" x14ac:dyDescent="0.3"/>
    <row r="707" ht="13.5" customHeight="1" x14ac:dyDescent="0.3"/>
    <row r="708" ht="13.5" customHeight="1" x14ac:dyDescent="0.3"/>
    <row r="709" ht="13.5" customHeight="1" x14ac:dyDescent="0.3"/>
    <row r="710" ht="13.5" customHeight="1" x14ac:dyDescent="0.3"/>
    <row r="711" ht="13.5" customHeight="1" x14ac:dyDescent="0.3"/>
    <row r="712" ht="13.5" customHeight="1" x14ac:dyDescent="0.3"/>
    <row r="713" ht="13.5" customHeight="1" x14ac:dyDescent="0.3"/>
    <row r="714" ht="13.5" customHeight="1" x14ac:dyDescent="0.3"/>
    <row r="715" ht="13.5" customHeight="1" x14ac:dyDescent="0.3"/>
    <row r="716" ht="13.5" customHeight="1" x14ac:dyDescent="0.3"/>
    <row r="717" ht="13.5" customHeight="1" x14ac:dyDescent="0.3"/>
    <row r="718" ht="13.5" customHeight="1" x14ac:dyDescent="0.3"/>
    <row r="719" ht="13.5" customHeight="1" x14ac:dyDescent="0.3"/>
    <row r="720" ht="13.5" customHeight="1" x14ac:dyDescent="0.3"/>
    <row r="721" ht="13.5" customHeight="1" x14ac:dyDescent="0.3"/>
    <row r="722" ht="13.5" customHeight="1" x14ac:dyDescent="0.3"/>
    <row r="723" ht="13.5" customHeight="1" x14ac:dyDescent="0.3"/>
    <row r="724" ht="13.5" customHeight="1" x14ac:dyDescent="0.3"/>
    <row r="725" ht="13.5" customHeight="1" x14ac:dyDescent="0.3"/>
    <row r="726" ht="13.5" customHeight="1" x14ac:dyDescent="0.3"/>
    <row r="727" ht="13.5" customHeight="1" x14ac:dyDescent="0.3"/>
    <row r="728" ht="13.5" customHeight="1" x14ac:dyDescent="0.3"/>
    <row r="729" ht="13.5" customHeight="1" x14ac:dyDescent="0.3"/>
    <row r="730" ht="13.5" customHeight="1" x14ac:dyDescent="0.3"/>
    <row r="731" ht="13.5" customHeight="1" x14ac:dyDescent="0.3"/>
    <row r="732" ht="13.5" customHeight="1" x14ac:dyDescent="0.3"/>
    <row r="733" ht="13.5" customHeight="1" x14ac:dyDescent="0.3"/>
    <row r="734" ht="13.5" customHeight="1" x14ac:dyDescent="0.3"/>
    <row r="735" ht="13.5" customHeight="1" x14ac:dyDescent="0.3"/>
    <row r="736" ht="13.5" customHeight="1" x14ac:dyDescent="0.3"/>
    <row r="737" ht="13.5" customHeight="1" x14ac:dyDescent="0.3"/>
    <row r="738" ht="13.5" customHeight="1" x14ac:dyDescent="0.3"/>
    <row r="739" ht="13.5" customHeight="1" x14ac:dyDescent="0.3"/>
    <row r="740" ht="13.5" customHeight="1" x14ac:dyDescent="0.3"/>
    <row r="741" ht="13.5" customHeight="1" x14ac:dyDescent="0.3"/>
    <row r="742" ht="13.5" customHeight="1" x14ac:dyDescent="0.3"/>
    <row r="743" ht="13.5" customHeight="1" x14ac:dyDescent="0.3"/>
    <row r="744" ht="13.5" customHeight="1" x14ac:dyDescent="0.3"/>
    <row r="745" ht="13.5" customHeight="1" x14ac:dyDescent="0.3"/>
    <row r="746" ht="13.5" customHeight="1" x14ac:dyDescent="0.3"/>
    <row r="747" ht="13.5" customHeight="1" x14ac:dyDescent="0.3"/>
    <row r="748" ht="13.5" customHeight="1" x14ac:dyDescent="0.3"/>
    <row r="749" ht="13.5" customHeight="1" x14ac:dyDescent="0.3"/>
    <row r="750" ht="13.5" customHeight="1" x14ac:dyDescent="0.3"/>
    <row r="751" ht="13.5" customHeight="1" x14ac:dyDescent="0.3"/>
    <row r="752" ht="13.5" customHeight="1" x14ac:dyDescent="0.3"/>
    <row r="753" ht="13.5" customHeight="1" x14ac:dyDescent="0.3"/>
    <row r="754" ht="13.5" customHeight="1" x14ac:dyDescent="0.3"/>
    <row r="755" ht="13.5" customHeight="1" x14ac:dyDescent="0.3"/>
    <row r="756" ht="13.5" customHeight="1" x14ac:dyDescent="0.3"/>
    <row r="757" ht="13.5" customHeight="1" x14ac:dyDescent="0.3"/>
    <row r="758" ht="13.5" customHeight="1" x14ac:dyDescent="0.3"/>
    <row r="759" ht="13.5" customHeight="1" x14ac:dyDescent="0.3"/>
    <row r="760" ht="13.5" customHeight="1" x14ac:dyDescent="0.3"/>
    <row r="761" ht="13.5" customHeight="1" x14ac:dyDescent="0.3"/>
    <row r="762" ht="13.5" customHeight="1" x14ac:dyDescent="0.3"/>
    <row r="763" ht="13.5" customHeight="1" x14ac:dyDescent="0.3"/>
    <row r="764" ht="13.5" customHeight="1" x14ac:dyDescent="0.3"/>
    <row r="765" ht="13.5" customHeight="1" x14ac:dyDescent="0.3"/>
    <row r="766" ht="13.5" customHeight="1" x14ac:dyDescent="0.3"/>
    <row r="767" ht="13.5" customHeight="1" x14ac:dyDescent="0.3"/>
    <row r="768" ht="13.5" customHeight="1" x14ac:dyDescent="0.3"/>
    <row r="769" ht="13.5" customHeight="1" x14ac:dyDescent="0.3"/>
    <row r="770" ht="13.5" customHeight="1" x14ac:dyDescent="0.3"/>
    <row r="771" ht="13.5" customHeight="1" x14ac:dyDescent="0.3"/>
    <row r="772" ht="13.5" customHeight="1" x14ac:dyDescent="0.3"/>
    <row r="773" ht="13.5" customHeight="1" x14ac:dyDescent="0.3"/>
    <row r="774" ht="13.5" customHeight="1" x14ac:dyDescent="0.3"/>
    <row r="775" ht="13.5" customHeight="1" x14ac:dyDescent="0.3"/>
    <row r="776" ht="13.5" customHeight="1" x14ac:dyDescent="0.3"/>
    <row r="777" ht="13.5" customHeight="1" x14ac:dyDescent="0.3"/>
    <row r="778" ht="13.5" customHeight="1" x14ac:dyDescent="0.3"/>
    <row r="779" ht="13.5" customHeight="1" x14ac:dyDescent="0.3"/>
    <row r="780" ht="13.5" customHeight="1" x14ac:dyDescent="0.3"/>
    <row r="781" ht="13.5" customHeight="1" x14ac:dyDescent="0.3"/>
    <row r="782" ht="13.5" customHeight="1" x14ac:dyDescent="0.3"/>
    <row r="783" ht="13.5" customHeight="1" x14ac:dyDescent="0.3"/>
    <row r="784" ht="13.5" customHeight="1" x14ac:dyDescent="0.3"/>
    <row r="785" ht="13.5" customHeight="1" x14ac:dyDescent="0.3"/>
    <row r="786" ht="13.5" customHeight="1" x14ac:dyDescent="0.3"/>
    <row r="787" ht="13.5" customHeight="1" x14ac:dyDescent="0.3"/>
    <row r="788" ht="13.5" customHeight="1" x14ac:dyDescent="0.3"/>
    <row r="789" ht="13.5" customHeight="1" x14ac:dyDescent="0.3"/>
    <row r="790" ht="13.5" customHeight="1" x14ac:dyDescent="0.3"/>
    <row r="791" ht="13.5" customHeight="1" x14ac:dyDescent="0.3"/>
    <row r="792" ht="13.5" customHeight="1" x14ac:dyDescent="0.3"/>
    <row r="793" ht="13.5" customHeight="1" x14ac:dyDescent="0.3"/>
    <row r="794" ht="13.5" customHeight="1" x14ac:dyDescent="0.3"/>
    <row r="795" ht="13.5" customHeight="1" x14ac:dyDescent="0.3"/>
    <row r="796" ht="13.5" customHeight="1" x14ac:dyDescent="0.3"/>
    <row r="797" ht="13.5" customHeight="1" x14ac:dyDescent="0.3"/>
    <row r="798" ht="13.5" customHeight="1" x14ac:dyDescent="0.3"/>
    <row r="799" ht="13.5" customHeight="1" x14ac:dyDescent="0.3"/>
    <row r="800" ht="13.5" customHeight="1" x14ac:dyDescent="0.3"/>
    <row r="801" ht="13.5" customHeight="1" x14ac:dyDescent="0.3"/>
    <row r="802" ht="13.5" customHeight="1" x14ac:dyDescent="0.3"/>
    <row r="803" ht="13.5" customHeight="1" x14ac:dyDescent="0.3"/>
    <row r="804" ht="13.5" customHeight="1" x14ac:dyDescent="0.3"/>
    <row r="805" ht="13.5" customHeight="1" x14ac:dyDescent="0.3"/>
    <row r="806" ht="13.5" customHeight="1" x14ac:dyDescent="0.3"/>
    <row r="807" ht="13.5" customHeight="1" x14ac:dyDescent="0.3"/>
    <row r="808" ht="13.5" customHeight="1" x14ac:dyDescent="0.3"/>
    <row r="809" ht="13.5" customHeight="1" x14ac:dyDescent="0.3"/>
    <row r="810" ht="13.5" customHeight="1" x14ac:dyDescent="0.3"/>
    <row r="811" ht="13.5" customHeight="1" x14ac:dyDescent="0.3"/>
    <row r="812" ht="13.5" customHeight="1" x14ac:dyDescent="0.3"/>
    <row r="813" ht="13.5" customHeight="1" x14ac:dyDescent="0.3"/>
    <row r="814" ht="13.5" customHeight="1" x14ac:dyDescent="0.3"/>
    <row r="815" ht="13.5" customHeight="1" x14ac:dyDescent="0.3"/>
    <row r="816" ht="13.5" customHeight="1" x14ac:dyDescent="0.3"/>
    <row r="817" ht="13.5" customHeight="1" x14ac:dyDescent="0.3"/>
    <row r="818" ht="13.5" customHeight="1" x14ac:dyDescent="0.3"/>
    <row r="819" ht="13.5" customHeight="1" x14ac:dyDescent="0.3"/>
    <row r="820" ht="13.5" customHeight="1" x14ac:dyDescent="0.3"/>
    <row r="821" ht="13.5" customHeight="1" x14ac:dyDescent="0.3"/>
    <row r="822" ht="13.5" customHeight="1" x14ac:dyDescent="0.3"/>
    <row r="823" ht="13.5" customHeight="1" x14ac:dyDescent="0.3"/>
    <row r="824" ht="13.5" customHeight="1" x14ac:dyDescent="0.3"/>
    <row r="825" ht="13.5" customHeight="1" x14ac:dyDescent="0.3"/>
    <row r="826" ht="13.5" customHeight="1" x14ac:dyDescent="0.3"/>
    <row r="827" ht="13.5" customHeight="1" x14ac:dyDescent="0.3"/>
    <row r="828" ht="13.5" customHeight="1" x14ac:dyDescent="0.3"/>
    <row r="829" ht="13.5" customHeight="1" x14ac:dyDescent="0.3"/>
    <row r="830" ht="13.5" customHeight="1" x14ac:dyDescent="0.3"/>
    <row r="831" ht="13.5" customHeight="1" x14ac:dyDescent="0.3"/>
    <row r="832" ht="13.5" customHeight="1" x14ac:dyDescent="0.3"/>
    <row r="833" ht="13.5" customHeight="1" x14ac:dyDescent="0.3"/>
    <row r="834" ht="13.5" customHeight="1" x14ac:dyDescent="0.3"/>
    <row r="835" ht="13.5" customHeight="1" x14ac:dyDescent="0.3"/>
    <row r="836" ht="13.5" customHeight="1" x14ac:dyDescent="0.3"/>
    <row r="837" ht="13.5" customHeight="1" x14ac:dyDescent="0.3"/>
    <row r="838" ht="13.5" customHeight="1" x14ac:dyDescent="0.3"/>
    <row r="839" ht="13.5" customHeight="1" x14ac:dyDescent="0.3"/>
    <row r="840" ht="13.5" customHeight="1" x14ac:dyDescent="0.3"/>
    <row r="841" ht="13.5" customHeight="1" x14ac:dyDescent="0.3"/>
    <row r="842" ht="13.5" customHeight="1" x14ac:dyDescent="0.3"/>
    <row r="843" ht="13.5" customHeight="1" x14ac:dyDescent="0.3"/>
    <row r="844" ht="13.5" customHeight="1" x14ac:dyDescent="0.3"/>
    <row r="845" ht="13.5" customHeight="1" x14ac:dyDescent="0.3"/>
    <row r="846" ht="13.5" customHeight="1" x14ac:dyDescent="0.3"/>
    <row r="847" ht="13.5" customHeight="1" x14ac:dyDescent="0.3"/>
    <row r="848" ht="13.5" customHeight="1" x14ac:dyDescent="0.3"/>
    <row r="849" ht="13.5" customHeight="1" x14ac:dyDescent="0.3"/>
    <row r="850" ht="13.5" customHeight="1" x14ac:dyDescent="0.3"/>
    <row r="851" ht="13.5" customHeight="1" x14ac:dyDescent="0.3"/>
    <row r="852" ht="13.5" customHeight="1" x14ac:dyDescent="0.3"/>
    <row r="853" ht="13.5" customHeight="1" x14ac:dyDescent="0.3"/>
    <row r="854" ht="13.5" customHeight="1" x14ac:dyDescent="0.3"/>
    <row r="855" ht="13.5" customHeight="1" x14ac:dyDescent="0.3"/>
    <row r="856" ht="13.5" customHeight="1" x14ac:dyDescent="0.3"/>
    <row r="857" ht="13.5" customHeight="1" x14ac:dyDescent="0.3"/>
    <row r="858" ht="13.5" customHeight="1" x14ac:dyDescent="0.3"/>
    <row r="859" ht="13.5" customHeight="1" x14ac:dyDescent="0.3"/>
    <row r="860" ht="13.5" customHeight="1" x14ac:dyDescent="0.3"/>
    <row r="861" ht="13.5" customHeight="1" x14ac:dyDescent="0.3"/>
    <row r="862" ht="13.5" customHeight="1" x14ac:dyDescent="0.3"/>
    <row r="863" ht="13.5" customHeight="1" x14ac:dyDescent="0.3"/>
    <row r="864" ht="13.5" customHeight="1" x14ac:dyDescent="0.3"/>
    <row r="865" ht="13.5" customHeight="1" x14ac:dyDescent="0.3"/>
    <row r="866" ht="13.5" customHeight="1" x14ac:dyDescent="0.3"/>
    <row r="867" ht="13.5" customHeight="1" x14ac:dyDescent="0.3"/>
    <row r="868" ht="13.5" customHeight="1" x14ac:dyDescent="0.3"/>
    <row r="869" ht="13.5" customHeight="1" x14ac:dyDescent="0.3"/>
    <row r="870" ht="13.5" customHeight="1" x14ac:dyDescent="0.3"/>
    <row r="871" ht="13.5" customHeight="1" x14ac:dyDescent="0.3"/>
    <row r="872" ht="13.5" customHeight="1" x14ac:dyDescent="0.3"/>
    <row r="873" ht="13.5" customHeight="1" x14ac:dyDescent="0.3"/>
    <row r="874" ht="13.5" customHeight="1" x14ac:dyDescent="0.3"/>
    <row r="875" ht="13.5" customHeight="1" x14ac:dyDescent="0.3"/>
    <row r="876" ht="13.5" customHeight="1" x14ac:dyDescent="0.3"/>
    <row r="877" ht="13.5" customHeight="1" x14ac:dyDescent="0.3"/>
    <row r="878" ht="13.5" customHeight="1" x14ac:dyDescent="0.3"/>
    <row r="879" ht="13.5" customHeight="1" x14ac:dyDescent="0.3"/>
    <row r="880" ht="13.5" customHeight="1" x14ac:dyDescent="0.3"/>
    <row r="881" ht="13.5" customHeight="1" x14ac:dyDescent="0.3"/>
    <row r="882" ht="13.5" customHeight="1" x14ac:dyDescent="0.3"/>
    <row r="883" ht="13.5" customHeight="1" x14ac:dyDescent="0.3"/>
    <row r="884" ht="13.5" customHeight="1" x14ac:dyDescent="0.3"/>
    <row r="885" ht="13.5" customHeight="1" x14ac:dyDescent="0.3"/>
    <row r="886" ht="13.5" customHeight="1" x14ac:dyDescent="0.3"/>
    <row r="887" ht="13.5" customHeight="1" x14ac:dyDescent="0.3"/>
    <row r="888" ht="13.5" customHeight="1" x14ac:dyDescent="0.3"/>
    <row r="889" ht="13.5" customHeight="1" x14ac:dyDescent="0.3"/>
    <row r="890" ht="13.5" customHeight="1" x14ac:dyDescent="0.3"/>
    <row r="891" ht="13.5" customHeight="1" x14ac:dyDescent="0.3"/>
    <row r="892" ht="13.5" customHeight="1" x14ac:dyDescent="0.3"/>
    <row r="893" ht="13.5" customHeight="1" x14ac:dyDescent="0.3"/>
    <row r="894" ht="13.5" customHeight="1" x14ac:dyDescent="0.3"/>
    <row r="895" ht="13.5" customHeight="1" x14ac:dyDescent="0.3"/>
    <row r="896" ht="13.5" customHeight="1" x14ac:dyDescent="0.3"/>
    <row r="897" ht="13.5" customHeight="1" x14ac:dyDescent="0.3"/>
    <row r="898" ht="13.5" customHeight="1" x14ac:dyDescent="0.3"/>
    <row r="899" ht="13.5" customHeight="1" x14ac:dyDescent="0.3"/>
    <row r="900" ht="13.5" customHeight="1" x14ac:dyDescent="0.3"/>
    <row r="901" ht="13.5" customHeight="1" x14ac:dyDescent="0.3"/>
    <row r="902" ht="13.5" customHeight="1" x14ac:dyDescent="0.3"/>
    <row r="903" ht="13.5" customHeight="1" x14ac:dyDescent="0.3"/>
    <row r="904" ht="13.5" customHeight="1" x14ac:dyDescent="0.3"/>
    <row r="905" ht="13.5" customHeight="1" x14ac:dyDescent="0.3"/>
    <row r="906" ht="13.5" customHeight="1" x14ac:dyDescent="0.3"/>
    <row r="907" ht="13.5" customHeight="1" x14ac:dyDescent="0.3"/>
    <row r="908" ht="13.5" customHeight="1" x14ac:dyDescent="0.3"/>
    <row r="909" ht="13.5" customHeight="1" x14ac:dyDescent="0.3"/>
    <row r="910" ht="13.5" customHeight="1" x14ac:dyDescent="0.3"/>
    <row r="911" ht="13.5" customHeight="1" x14ac:dyDescent="0.3"/>
    <row r="912" ht="13.5" customHeight="1" x14ac:dyDescent="0.3"/>
    <row r="913" ht="13.5" customHeight="1" x14ac:dyDescent="0.3"/>
    <row r="914" ht="13.5" customHeight="1" x14ac:dyDescent="0.3"/>
    <row r="915" ht="13.5" customHeight="1" x14ac:dyDescent="0.3"/>
    <row r="916" ht="13.5" customHeight="1" x14ac:dyDescent="0.3"/>
    <row r="917" ht="13.5" customHeight="1" x14ac:dyDescent="0.3"/>
    <row r="918" ht="13.5" customHeight="1" x14ac:dyDescent="0.3"/>
    <row r="919" ht="13.5" customHeight="1" x14ac:dyDescent="0.3"/>
    <row r="920" ht="13.5" customHeight="1" x14ac:dyDescent="0.3"/>
    <row r="921" ht="13.5" customHeight="1" x14ac:dyDescent="0.3"/>
    <row r="922" ht="13.5" customHeight="1" x14ac:dyDescent="0.3"/>
    <row r="923" ht="13.5" customHeight="1" x14ac:dyDescent="0.3"/>
    <row r="924" ht="13.5" customHeight="1" x14ac:dyDescent="0.3"/>
    <row r="925" ht="13.5" customHeight="1" x14ac:dyDescent="0.3"/>
    <row r="926" ht="13.5" customHeight="1" x14ac:dyDescent="0.3"/>
    <row r="927" ht="13.5" customHeight="1" x14ac:dyDescent="0.3"/>
    <row r="928" ht="13.5" customHeight="1" x14ac:dyDescent="0.3"/>
    <row r="929" ht="13.5" customHeight="1" x14ac:dyDescent="0.3"/>
    <row r="930" ht="13.5" customHeight="1" x14ac:dyDescent="0.3"/>
    <row r="931" ht="13.5" customHeight="1" x14ac:dyDescent="0.3"/>
    <row r="932" ht="13.5" customHeight="1" x14ac:dyDescent="0.3"/>
    <row r="933" ht="13.5" customHeight="1" x14ac:dyDescent="0.3"/>
    <row r="934" ht="13.5" customHeight="1" x14ac:dyDescent="0.3"/>
    <row r="935" ht="13.5" customHeight="1" x14ac:dyDescent="0.3"/>
    <row r="936" ht="13.5" customHeight="1" x14ac:dyDescent="0.3"/>
    <row r="937" ht="13.5" customHeight="1" x14ac:dyDescent="0.3"/>
    <row r="938" ht="13.5" customHeight="1" x14ac:dyDescent="0.3"/>
    <row r="939" ht="13.5" customHeight="1" x14ac:dyDescent="0.3"/>
    <row r="940" ht="13.5" customHeight="1" x14ac:dyDescent="0.3"/>
    <row r="941" ht="13.5" customHeight="1" x14ac:dyDescent="0.3"/>
    <row r="942" ht="13.5" customHeight="1" x14ac:dyDescent="0.3"/>
    <row r="943" ht="13.5" customHeight="1" x14ac:dyDescent="0.3"/>
    <row r="944" ht="13.5" customHeight="1" x14ac:dyDescent="0.3"/>
    <row r="945" ht="13.5" customHeight="1" x14ac:dyDescent="0.3"/>
    <row r="946" ht="13.5" customHeight="1" x14ac:dyDescent="0.3"/>
    <row r="947" ht="13.5" customHeight="1" x14ac:dyDescent="0.3"/>
    <row r="948" ht="13.5" customHeight="1" x14ac:dyDescent="0.3"/>
    <row r="949" ht="13.5" customHeight="1" x14ac:dyDescent="0.3"/>
    <row r="950" ht="13.5" customHeight="1" x14ac:dyDescent="0.3"/>
    <row r="951" ht="13.5" customHeight="1" x14ac:dyDescent="0.3"/>
    <row r="952" ht="13.5" customHeight="1" x14ac:dyDescent="0.3"/>
    <row r="953" ht="13.5" customHeight="1" x14ac:dyDescent="0.3"/>
    <row r="954" ht="13.5" customHeight="1" x14ac:dyDescent="0.3"/>
    <row r="955" ht="13.5" customHeight="1" x14ac:dyDescent="0.3"/>
    <row r="956" ht="13.5" customHeight="1" x14ac:dyDescent="0.3"/>
    <row r="957" ht="13.5" customHeight="1" x14ac:dyDescent="0.3"/>
    <row r="958" ht="13.5" customHeight="1" x14ac:dyDescent="0.3"/>
    <row r="959" ht="13.5" customHeight="1" x14ac:dyDescent="0.3"/>
    <row r="960" ht="13.5" customHeight="1" x14ac:dyDescent="0.3"/>
    <row r="961" ht="13.5" customHeight="1" x14ac:dyDescent="0.3"/>
    <row r="962" ht="13.5" customHeight="1" x14ac:dyDescent="0.3"/>
    <row r="963" ht="13.5" customHeight="1" x14ac:dyDescent="0.3"/>
    <row r="964" ht="13.5" customHeight="1" x14ac:dyDescent="0.3"/>
    <row r="965" ht="13.5" customHeight="1" x14ac:dyDescent="0.3"/>
    <row r="966" ht="13.5" customHeight="1" x14ac:dyDescent="0.3"/>
    <row r="967" ht="13.5" customHeight="1" x14ac:dyDescent="0.3"/>
    <row r="968" ht="13.5" customHeight="1" x14ac:dyDescent="0.3"/>
    <row r="969" ht="13.5" customHeight="1" x14ac:dyDescent="0.3"/>
    <row r="970" ht="13.5" customHeight="1" x14ac:dyDescent="0.3"/>
    <row r="971" ht="13.5" customHeight="1" x14ac:dyDescent="0.3"/>
    <row r="972" ht="13.5" customHeight="1" x14ac:dyDescent="0.3"/>
    <row r="973" ht="13.5" customHeight="1" x14ac:dyDescent="0.3"/>
    <row r="974" ht="13.5" customHeight="1" x14ac:dyDescent="0.3"/>
    <row r="975" ht="13.5" customHeight="1" x14ac:dyDescent="0.3"/>
    <row r="976" ht="13.5" customHeight="1" x14ac:dyDescent="0.3"/>
    <row r="977" ht="13.5" customHeight="1" x14ac:dyDescent="0.3"/>
    <row r="978" ht="13.5" customHeight="1" x14ac:dyDescent="0.3"/>
    <row r="979" ht="13.5" customHeight="1" x14ac:dyDescent="0.3"/>
    <row r="980" ht="13.5" customHeight="1" x14ac:dyDescent="0.3"/>
    <row r="981" ht="13.5" customHeight="1" x14ac:dyDescent="0.3"/>
    <row r="982" ht="13.5" customHeight="1" x14ac:dyDescent="0.3"/>
    <row r="983" ht="13.5" customHeight="1" x14ac:dyDescent="0.3"/>
    <row r="984" ht="13.5" customHeight="1" x14ac:dyDescent="0.3"/>
    <row r="985" ht="13.5" customHeight="1" x14ac:dyDescent="0.3"/>
    <row r="986" ht="13.5" customHeight="1" x14ac:dyDescent="0.3"/>
    <row r="987" ht="13.5" customHeight="1" x14ac:dyDescent="0.3"/>
    <row r="988" ht="13.5" customHeight="1" x14ac:dyDescent="0.3"/>
    <row r="989" ht="13.5" customHeight="1" x14ac:dyDescent="0.3"/>
    <row r="990" ht="13.5" customHeight="1" x14ac:dyDescent="0.3"/>
    <row r="991" ht="13.5" customHeight="1" x14ac:dyDescent="0.3"/>
    <row r="992" ht="13.5" customHeight="1" x14ac:dyDescent="0.3"/>
    <row r="993" ht="13.5" customHeight="1" x14ac:dyDescent="0.3"/>
    <row r="994" ht="13.5" customHeight="1" x14ac:dyDescent="0.3"/>
    <row r="995" ht="13.5" customHeight="1" x14ac:dyDescent="0.3"/>
    <row r="996" ht="13.5" customHeight="1" x14ac:dyDescent="0.3"/>
    <row r="997" ht="13.5" customHeight="1" x14ac:dyDescent="0.3"/>
    <row r="998" ht="13.5" customHeight="1" x14ac:dyDescent="0.3"/>
    <row r="999" ht="13.5" customHeight="1" x14ac:dyDescent="0.3"/>
    <row r="1000" ht="13.5" customHeight="1" x14ac:dyDescent="0.3"/>
    <row r="1001" ht="13.5" customHeight="1" x14ac:dyDescent="0.3"/>
    <row r="1002" ht="13.5" customHeight="1" x14ac:dyDescent="0.3"/>
    <row r="1003" ht="13.5" customHeight="1" x14ac:dyDescent="0.3"/>
    <row r="1004" ht="13.5" customHeight="1" x14ac:dyDescent="0.3"/>
    <row r="1005" ht="13.5" customHeight="1" x14ac:dyDescent="0.3"/>
    <row r="1006" ht="13.5" customHeight="1" x14ac:dyDescent="0.3"/>
    <row r="1007" ht="13.5" customHeight="1" x14ac:dyDescent="0.3"/>
    <row r="1008" ht="13.5" customHeight="1" x14ac:dyDescent="0.3"/>
    <row r="1009" ht="13.5" customHeight="1" x14ac:dyDescent="0.3"/>
    <row r="1010" ht="13.5" customHeight="1" x14ac:dyDescent="0.3"/>
    <row r="1011" ht="13.5" customHeight="1" x14ac:dyDescent="0.3"/>
    <row r="1012" ht="13.5" customHeight="1" x14ac:dyDescent="0.3"/>
    <row r="1013" ht="13.5" customHeight="1" x14ac:dyDescent="0.3"/>
    <row r="1014" ht="13.5" customHeight="1" x14ac:dyDescent="0.3"/>
    <row r="1015" ht="13.5" customHeight="1" x14ac:dyDescent="0.3"/>
    <row r="1016" ht="13.5" customHeight="1" x14ac:dyDescent="0.3"/>
    <row r="1017" ht="13.5" customHeight="1" x14ac:dyDescent="0.3"/>
    <row r="1018" ht="13.5" customHeight="1" x14ac:dyDescent="0.3"/>
    <row r="1019" ht="13.5" customHeight="1" x14ac:dyDescent="0.3"/>
    <row r="1020" ht="13.5" customHeight="1" x14ac:dyDescent="0.3"/>
    <row r="1021" ht="13.5" customHeight="1" x14ac:dyDescent="0.3"/>
    <row r="1022" ht="13.5" customHeight="1" x14ac:dyDescent="0.3"/>
    <row r="1023" ht="13.5" customHeight="1" x14ac:dyDescent="0.3"/>
    <row r="1024" ht="13.5" customHeight="1" x14ac:dyDescent="0.3"/>
    <row r="1025" ht="13.5" customHeight="1" x14ac:dyDescent="0.3"/>
    <row r="1026" ht="13.5" customHeight="1" x14ac:dyDescent="0.3"/>
    <row r="1027" ht="13.5" customHeight="1" x14ac:dyDescent="0.3"/>
    <row r="1028" ht="13.5" customHeight="1" x14ac:dyDescent="0.3"/>
    <row r="1029" ht="13.5" customHeight="1" x14ac:dyDescent="0.3"/>
    <row r="1030" ht="13.5" customHeight="1" x14ac:dyDescent="0.3"/>
    <row r="1031" ht="13.5" customHeight="1" x14ac:dyDescent="0.3"/>
    <row r="1032" ht="13.5" customHeight="1" x14ac:dyDescent="0.3"/>
    <row r="1033" ht="13.5" customHeight="1" x14ac:dyDescent="0.3"/>
    <row r="1034" ht="13.5" customHeight="1" x14ac:dyDescent="0.3"/>
    <row r="1035" ht="13.5" customHeight="1" x14ac:dyDescent="0.3"/>
    <row r="1036" ht="13.5" customHeight="1" x14ac:dyDescent="0.3"/>
    <row r="1037" ht="13.5" customHeight="1" x14ac:dyDescent="0.3"/>
    <row r="1038" ht="13.5" customHeight="1" x14ac:dyDescent="0.3"/>
    <row r="1039" ht="13.5" customHeight="1" x14ac:dyDescent="0.3"/>
    <row r="1040" ht="13.5" customHeight="1" x14ac:dyDescent="0.3"/>
    <row r="1041" ht="13.5" customHeight="1" x14ac:dyDescent="0.3"/>
    <row r="1042" ht="13.5" customHeight="1" x14ac:dyDescent="0.3"/>
    <row r="1043" ht="13.5" customHeight="1" x14ac:dyDescent="0.3"/>
    <row r="1044" ht="13.5" customHeight="1" x14ac:dyDescent="0.3"/>
    <row r="1045" ht="13.5" customHeight="1" x14ac:dyDescent="0.3"/>
    <row r="1046" ht="13.5" customHeight="1" x14ac:dyDescent="0.3"/>
    <row r="1047" ht="13.5" customHeight="1" x14ac:dyDescent="0.3"/>
    <row r="1048" ht="13.5" customHeight="1" x14ac:dyDescent="0.3"/>
    <row r="1049" ht="13.5" customHeight="1" x14ac:dyDescent="0.3"/>
    <row r="1050" ht="13.5" customHeight="1" x14ac:dyDescent="0.3"/>
    <row r="1051" ht="13.5" customHeight="1" x14ac:dyDescent="0.3"/>
    <row r="1052" ht="13.5" customHeight="1" x14ac:dyDescent="0.3"/>
    <row r="1053" ht="13.5" customHeight="1" x14ac:dyDescent="0.3"/>
    <row r="1054" ht="13.5" customHeight="1" x14ac:dyDescent="0.3"/>
    <row r="1055" ht="13.5" customHeight="1" x14ac:dyDescent="0.3"/>
    <row r="1056" ht="13.5" customHeight="1" x14ac:dyDescent="0.3"/>
    <row r="1057" ht="13.5" customHeight="1" x14ac:dyDescent="0.3"/>
    <row r="1058" ht="13.5" customHeight="1" x14ac:dyDescent="0.3"/>
    <row r="1059" ht="13.5" customHeight="1" x14ac:dyDescent="0.3"/>
    <row r="1060" ht="13.5" customHeight="1" x14ac:dyDescent="0.3"/>
    <row r="1061" ht="13.5" customHeight="1" x14ac:dyDescent="0.3"/>
    <row r="1062" ht="13.5" customHeight="1" x14ac:dyDescent="0.3"/>
    <row r="1063" ht="13.5" customHeight="1" x14ac:dyDescent="0.3"/>
    <row r="1064" ht="13.5" customHeight="1" x14ac:dyDescent="0.3"/>
    <row r="1065" ht="13.5" customHeight="1" x14ac:dyDescent="0.3"/>
    <row r="1066" ht="13.5" customHeight="1" x14ac:dyDescent="0.3"/>
    <row r="1067" ht="13.5" customHeight="1" x14ac:dyDescent="0.3"/>
    <row r="1068" ht="13.5" customHeight="1" x14ac:dyDescent="0.3"/>
    <row r="1069" ht="13.5" customHeight="1" x14ac:dyDescent="0.3"/>
    <row r="1070" ht="13.5" customHeight="1" x14ac:dyDescent="0.3"/>
    <row r="1071" ht="13.5" customHeight="1" x14ac:dyDescent="0.3"/>
    <row r="1072" ht="13.5" customHeight="1" x14ac:dyDescent="0.3"/>
    <row r="1073" ht="13.5" customHeight="1" x14ac:dyDescent="0.3"/>
    <row r="1074" ht="13.5" customHeight="1" x14ac:dyDescent="0.3"/>
    <row r="1075" ht="13.5" customHeight="1" x14ac:dyDescent="0.3"/>
    <row r="1076" ht="13.5" customHeight="1" x14ac:dyDescent="0.3"/>
    <row r="1077" ht="13.5" customHeight="1" x14ac:dyDescent="0.3"/>
    <row r="1078" ht="13.5" customHeight="1" x14ac:dyDescent="0.3"/>
    <row r="1079" ht="13.5" customHeight="1" x14ac:dyDescent="0.3"/>
    <row r="1080" ht="13.5" customHeight="1" x14ac:dyDescent="0.3"/>
    <row r="1081" ht="13.5" customHeight="1" x14ac:dyDescent="0.3"/>
    <row r="1082" ht="13.5" customHeight="1" x14ac:dyDescent="0.3"/>
    <row r="1083" ht="13.5" customHeight="1" x14ac:dyDescent="0.3"/>
    <row r="1084" ht="13.5" customHeight="1" x14ac:dyDescent="0.3"/>
    <row r="1085" ht="13.5" customHeight="1" x14ac:dyDescent="0.3"/>
    <row r="1086" ht="13.5" customHeight="1" x14ac:dyDescent="0.3"/>
    <row r="1087" ht="13.5" customHeight="1" x14ac:dyDescent="0.3"/>
    <row r="1088" ht="13.5" customHeight="1" x14ac:dyDescent="0.3"/>
    <row r="1089" ht="13.5" customHeight="1" x14ac:dyDescent="0.3"/>
    <row r="1090" ht="13.5" customHeight="1" x14ac:dyDescent="0.3"/>
    <row r="1091" ht="13.5" customHeight="1" x14ac:dyDescent="0.3"/>
    <row r="1092" ht="13.5" customHeight="1" x14ac:dyDescent="0.3"/>
    <row r="1093" ht="13.5" customHeight="1" x14ac:dyDescent="0.3"/>
    <row r="1094" ht="13.5" customHeight="1" x14ac:dyDescent="0.3"/>
    <row r="1095" ht="13.5" customHeight="1" x14ac:dyDescent="0.3"/>
    <row r="1096" ht="13.5" customHeight="1" x14ac:dyDescent="0.3"/>
    <row r="1097" ht="13.5" customHeight="1" x14ac:dyDescent="0.3"/>
    <row r="1098" ht="13.5" customHeight="1" x14ac:dyDescent="0.3"/>
    <row r="1099" ht="13.5" customHeight="1" x14ac:dyDescent="0.3"/>
    <row r="1100" ht="13.5" customHeight="1" x14ac:dyDescent="0.3"/>
    <row r="1101" ht="13.5" customHeight="1" x14ac:dyDescent="0.3"/>
    <row r="1102" ht="13.5" customHeight="1" x14ac:dyDescent="0.3"/>
    <row r="1103" ht="13.5" customHeight="1" x14ac:dyDescent="0.3"/>
    <row r="1104" ht="13.5" customHeight="1" x14ac:dyDescent="0.3"/>
    <row r="1105" ht="13.5" customHeight="1" x14ac:dyDescent="0.3"/>
    <row r="1106" ht="13.5" customHeight="1" x14ac:dyDescent="0.3"/>
    <row r="1107" ht="13.5" customHeight="1" x14ac:dyDescent="0.3"/>
    <row r="1108" ht="13.5" customHeight="1" x14ac:dyDescent="0.3"/>
    <row r="1109" ht="13.5" customHeight="1" x14ac:dyDescent="0.3"/>
    <row r="1110" ht="13.5" customHeight="1" x14ac:dyDescent="0.3"/>
    <row r="1111" ht="13.5" customHeight="1" x14ac:dyDescent="0.3"/>
    <row r="1112" ht="13.5" customHeight="1" x14ac:dyDescent="0.3"/>
    <row r="1113" ht="13.5" customHeight="1" x14ac:dyDescent="0.3"/>
    <row r="1114" ht="13.5" customHeight="1" x14ac:dyDescent="0.3"/>
    <row r="1115" ht="13.5" customHeight="1" x14ac:dyDescent="0.3"/>
    <row r="1116" ht="13.5" customHeight="1" x14ac:dyDescent="0.3"/>
    <row r="1117" ht="13.5" customHeight="1" x14ac:dyDescent="0.3"/>
    <row r="1118" ht="13.5" customHeight="1" x14ac:dyDescent="0.3"/>
    <row r="1119" ht="13.5" customHeight="1" x14ac:dyDescent="0.3"/>
    <row r="1120" ht="13.5" customHeight="1" x14ac:dyDescent="0.3"/>
    <row r="1121" ht="13.5" customHeight="1" x14ac:dyDescent="0.3"/>
    <row r="1122" ht="13.5" customHeight="1" x14ac:dyDescent="0.3"/>
    <row r="1123" ht="13.5" customHeight="1" x14ac:dyDescent="0.3"/>
    <row r="1124" ht="13.5" customHeight="1" x14ac:dyDescent="0.3"/>
    <row r="1125" ht="13.5" customHeight="1" x14ac:dyDescent="0.3"/>
    <row r="1126" ht="13.5" customHeight="1" x14ac:dyDescent="0.3"/>
    <row r="1127" ht="13.5" customHeight="1" x14ac:dyDescent="0.3"/>
    <row r="1128" ht="13.5" customHeight="1" x14ac:dyDescent="0.3"/>
    <row r="1129" ht="13.5" customHeight="1" x14ac:dyDescent="0.3"/>
    <row r="1130" ht="13.5" customHeight="1" x14ac:dyDescent="0.3"/>
    <row r="1131" ht="13.5" customHeight="1" x14ac:dyDescent="0.3"/>
    <row r="1132" ht="13.5" customHeight="1" x14ac:dyDescent="0.3"/>
    <row r="1133" ht="13.5" customHeight="1" x14ac:dyDescent="0.3"/>
    <row r="1134" ht="13.5" customHeight="1" x14ac:dyDescent="0.3"/>
    <row r="1135" ht="13.5" customHeight="1" x14ac:dyDescent="0.3"/>
    <row r="1136" ht="13.5" customHeight="1" x14ac:dyDescent="0.3"/>
    <row r="1137" ht="13.5" customHeight="1" x14ac:dyDescent="0.3"/>
    <row r="1138" ht="13.5" customHeight="1" x14ac:dyDescent="0.3"/>
    <row r="1139" ht="13.5" customHeight="1" x14ac:dyDescent="0.3"/>
    <row r="1140" ht="13.5" customHeight="1" x14ac:dyDescent="0.3"/>
    <row r="1141" ht="13.5" customHeight="1" x14ac:dyDescent="0.3"/>
    <row r="1142" ht="13.5" customHeight="1" x14ac:dyDescent="0.3"/>
    <row r="1143" ht="13.5" customHeight="1" x14ac:dyDescent="0.3"/>
    <row r="1144" ht="13.5" customHeight="1" x14ac:dyDescent="0.3"/>
    <row r="1145" ht="13.5" customHeight="1" x14ac:dyDescent="0.3"/>
    <row r="1146" ht="13.5" customHeight="1" x14ac:dyDescent="0.3"/>
    <row r="1147" ht="13.5" customHeight="1" x14ac:dyDescent="0.3"/>
    <row r="1148" ht="13.5" customHeight="1" x14ac:dyDescent="0.3"/>
    <row r="1149" ht="13.5" customHeight="1" x14ac:dyDescent="0.3"/>
    <row r="1150" ht="13.5" customHeight="1" x14ac:dyDescent="0.3"/>
    <row r="1151" ht="13.5" customHeight="1" x14ac:dyDescent="0.3"/>
    <row r="1152" ht="13.5" customHeight="1" x14ac:dyDescent="0.3"/>
    <row r="1153" ht="13.5" customHeight="1" x14ac:dyDescent="0.3"/>
    <row r="1154" ht="13.5" customHeight="1" x14ac:dyDescent="0.3"/>
    <row r="1155" ht="13.5" customHeight="1" x14ac:dyDescent="0.3"/>
    <row r="1156" ht="13.5" customHeight="1" x14ac:dyDescent="0.3"/>
    <row r="1157" ht="13.5" customHeight="1" x14ac:dyDescent="0.3"/>
    <row r="1158" ht="13.5" customHeight="1" x14ac:dyDescent="0.3"/>
    <row r="1159" ht="13.5" customHeight="1" x14ac:dyDescent="0.3"/>
    <row r="1160" ht="13.5" customHeight="1" x14ac:dyDescent="0.3"/>
    <row r="1161" ht="13.5" customHeight="1" x14ac:dyDescent="0.3"/>
    <row r="1162" ht="13.5" customHeight="1" x14ac:dyDescent="0.3"/>
    <row r="1163" ht="13.5" customHeight="1" x14ac:dyDescent="0.3"/>
    <row r="1164" ht="13.5" customHeight="1" x14ac:dyDescent="0.3"/>
    <row r="1165" ht="13.5" customHeight="1" x14ac:dyDescent="0.3"/>
    <row r="1166" ht="13.5" customHeight="1" x14ac:dyDescent="0.3"/>
    <row r="1167" ht="13.5" customHeight="1" x14ac:dyDescent="0.3"/>
    <row r="1168" ht="13.5" customHeight="1" x14ac:dyDescent="0.3"/>
    <row r="1169" ht="13.5" customHeight="1" x14ac:dyDescent="0.3"/>
    <row r="1170" ht="13.5" customHeight="1" x14ac:dyDescent="0.3"/>
    <row r="1171" ht="13.5" customHeight="1" x14ac:dyDescent="0.3"/>
    <row r="1172" ht="13.5" customHeight="1" x14ac:dyDescent="0.3"/>
    <row r="1173" ht="13.5" customHeight="1" x14ac:dyDescent="0.3"/>
    <row r="1174" ht="13.5" customHeight="1" x14ac:dyDescent="0.3"/>
    <row r="1175" ht="13.5" customHeight="1" x14ac:dyDescent="0.3"/>
    <row r="1176" ht="13.5" customHeight="1" x14ac:dyDescent="0.3"/>
    <row r="1177" ht="13.5" customHeight="1" x14ac:dyDescent="0.3"/>
    <row r="1178" ht="13.5" customHeight="1" x14ac:dyDescent="0.3"/>
    <row r="1179" ht="13.5" customHeight="1" x14ac:dyDescent="0.3"/>
    <row r="1180" ht="13.5" customHeight="1" x14ac:dyDescent="0.3"/>
    <row r="1181" ht="13.5" customHeight="1" x14ac:dyDescent="0.3"/>
    <row r="1182" ht="13.5" customHeight="1" x14ac:dyDescent="0.3"/>
    <row r="1183" ht="13.5" customHeight="1" x14ac:dyDescent="0.3"/>
    <row r="1184" ht="13.5" customHeight="1" x14ac:dyDescent="0.3"/>
    <row r="1185" ht="13.5" customHeight="1" x14ac:dyDescent="0.3"/>
    <row r="1186" ht="13.5" customHeight="1" x14ac:dyDescent="0.3"/>
    <row r="1187" ht="13.5" customHeight="1" x14ac:dyDescent="0.3"/>
    <row r="1188" ht="13.5" customHeight="1" x14ac:dyDescent="0.3"/>
    <row r="1189" ht="13.5" customHeight="1" x14ac:dyDescent="0.3"/>
    <row r="1190" ht="13.5" customHeight="1" x14ac:dyDescent="0.3"/>
    <row r="1191" ht="13.5" customHeight="1" x14ac:dyDescent="0.3"/>
    <row r="1192" ht="13.5" customHeight="1" x14ac:dyDescent="0.3"/>
    <row r="1193" ht="13.5" customHeight="1" x14ac:dyDescent="0.3"/>
    <row r="1194" ht="13.5" customHeight="1" x14ac:dyDescent="0.3"/>
    <row r="1195" ht="13.5" customHeight="1" x14ac:dyDescent="0.3"/>
    <row r="1196" ht="13.5" customHeight="1" x14ac:dyDescent="0.3"/>
    <row r="1197" ht="13.5" customHeight="1" x14ac:dyDescent="0.3"/>
    <row r="1198" ht="13.5" customHeight="1" x14ac:dyDescent="0.3"/>
    <row r="1199" ht="13.5" customHeight="1" x14ac:dyDescent="0.3"/>
    <row r="1200" ht="13.5" customHeight="1" x14ac:dyDescent="0.3"/>
    <row r="1201" ht="13.5" customHeight="1" x14ac:dyDescent="0.3"/>
    <row r="1202" ht="13.5" customHeight="1" x14ac:dyDescent="0.3"/>
    <row r="1203" ht="13.5" customHeight="1" x14ac:dyDescent="0.3"/>
    <row r="1204" ht="13.5" customHeight="1" x14ac:dyDescent="0.3"/>
    <row r="1205" ht="13.5" customHeight="1" x14ac:dyDescent="0.3"/>
    <row r="1206" ht="13.5" customHeight="1" x14ac:dyDescent="0.3"/>
    <row r="1207" ht="13.5" customHeight="1" x14ac:dyDescent="0.3"/>
    <row r="1208" ht="13.5" customHeight="1" x14ac:dyDescent="0.3"/>
    <row r="1209" ht="13.5" customHeight="1" x14ac:dyDescent="0.3"/>
    <row r="1210" ht="13.5" customHeight="1" x14ac:dyDescent="0.3"/>
    <row r="1211" ht="13.5" customHeight="1" x14ac:dyDescent="0.3"/>
    <row r="1212" ht="13.5" customHeight="1" x14ac:dyDescent="0.3"/>
    <row r="1213" ht="13.5" customHeight="1" x14ac:dyDescent="0.3"/>
    <row r="1214" ht="13.5" customHeight="1" x14ac:dyDescent="0.3"/>
    <row r="1215" ht="13.5" customHeight="1" x14ac:dyDescent="0.3"/>
    <row r="1216" ht="13.5" customHeight="1" x14ac:dyDescent="0.3"/>
    <row r="1217" ht="13.5" customHeight="1" x14ac:dyDescent="0.3"/>
    <row r="1218" ht="13.5" customHeight="1" x14ac:dyDescent="0.3"/>
    <row r="1219" ht="13.5" customHeight="1" x14ac:dyDescent="0.3"/>
    <row r="1220" ht="13.5" customHeight="1" x14ac:dyDescent="0.3"/>
    <row r="1221" ht="13.5" customHeight="1" x14ac:dyDescent="0.3"/>
    <row r="1222" ht="13.5" customHeight="1" x14ac:dyDescent="0.3"/>
    <row r="1223" ht="13.5" customHeight="1" x14ac:dyDescent="0.3"/>
    <row r="1224" ht="13.5" customHeight="1" x14ac:dyDescent="0.3"/>
    <row r="1225" ht="13.5" customHeight="1" x14ac:dyDescent="0.3"/>
    <row r="1226" ht="13.5" customHeight="1" x14ac:dyDescent="0.3"/>
    <row r="1227" ht="13.5" customHeight="1" x14ac:dyDescent="0.3"/>
    <row r="1228" ht="13.5" customHeight="1" x14ac:dyDescent="0.3"/>
    <row r="1229" ht="13.5" customHeight="1" x14ac:dyDescent="0.3"/>
    <row r="1230" ht="13.5" customHeight="1" x14ac:dyDescent="0.3"/>
    <row r="1231" ht="13.5" customHeight="1" x14ac:dyDescent="0.3"/>
    <row r="1232" ht="13.5" customHeight="1" x14ac:dyDescent="0.3"/>
    <row r="1233" ht="13.5" customHeight="1" x14ac:dyDescent="0.3"/>
    <row r="1234" ht="13.5" customHeight="1" x14ac:dyDescent="0.3"/>
    <row r="1235" ht="13.5" customHeight="1" x14ac:dyDescent="0.3"/>
    <row r="1236" ht="13.5" customHeight="1" x14ac:dyDescent="0.3"/>
    <row r="1237" ht="13.5" customHeight="1" x14ac:dyDescent="0.3"/>
    <row r="1238" ht="13.5" customHeight="1" x14ac:dyDescent="0.3"/>
    <row r="1239" ht="13.5" customHeight="1" x14ac:dyDescent="0.3"/>
    <row r="1240" ht="13.5" customHeight="1" x14ac:dyDescent="0.3"/>
    <row r="1241" ht="13.5" customHeight="1" x14ac:dyDescent="0.3"/>
    <row r="1242" ht="13.5" customHeight="1" x14ac:dyDescent="0.3"/>
    <row r="1243" ht="13.5" customHeight="1" x14ac:dyDescent="0.3"/>
    <row r="1244" ht="13.5" customHeight="1" x14ac:dyDescent="0.3"/>
    <row r="1245" ht="13.5" customHeight="1" x14ac:dyDescent="0.3"/>
    <row r="1246" ht="13.5" customHeight="1" x14ac:dyDescent="0.3"/>
    <row r="1247" ht="13.5" customHeight="1" x14ac:dyDescent="0.3"/>
    <row r="1248" ht="13.5" customHeight="1" x14ac:dyDescent="0.3"/>
    <row r="1249" ht="13.5" customHeight="1" x14ac:dyDescent="0.3"/>
    <row r="1250" ht="13.5" customHeight="1" x14ac:dyDescent="0.3"/>
    <row r="1251" ht="13.5" customHeight="1" x14ac:dyDescent="0.3"/>
    <row r="1252" ht="13.5" customHeight="1" x14ac:dyDescent="0.3"/>
    <row r="1253" ht="13.5" customHeight="1" x14ac:dyDescent="0.3"/>
    <row r="1254" ht="13.5" customHeight="1" x14ac:dyDescent="0.3"/>
    <row r="1255" ht="13.5" customHeight="1" x14ac:dyDescent="0.3"/>
    <row r="1256" ht="13.5" customHeight="1" x14ac:dyDescent="0.3"/>
    <row r="1257" ht="13.5" customHeight="1" x14ac:dyDescent="0.3"/>
    <row r="1258" ht="13.5" customHeight="1" x14ac:dyDescent="0.3"/>
    <row r="1259" ht="13.5" customHeight="1" x14ac:dyDescent="0.3"/>
    <row r="1260" ht="13.5" customHeight="1" x14ac:dyDescent="0.3"/>
    <row r="1261" ht="13.5" customHeight="1" x14ac:dyDescent="0.3"/>
    <row r="1262" ht="13.5" customHeight="1" x14ac:dyDescent="0.3"/>
    <row r="1263" ht="13.5" customHeight="1" x14ac:dyDescent="0.3"/>
    <row r="1264" ht="13.5" customHeight="1" x14ac:dyDescent="0.3"/>
    <row r="1265" ht="13.5" customHeight="1" x14ac:dyDescent="0.3"/>
    <row r="1266" ht="13.5" customHeight="1" x14ac:dyDescent="0.3"/>
    <row r="1267" ht="13.5" customHeight="1" x14ac:dyDescent="0.3"/>
    <row r="1268" ht="13.5" customHeight="1" x14ac:dyDescent="0.3"/>
    <row r="1269" ht="13.5" customHeight="1" x14ac:dyDescent="0.3"/>
    <row r="1270" ht="13.5" customHeight="1" x14ac:dyDescent="0.3"/>
    <row r="1271" ht="13.5" customHeight="1" x14ac:dyDescent="0.3"/>
    <row r="1272" ht="13.5" customHeight="1" x14ac:dyDescent="0.3"/>
    <row r="1273" ht="13.5" customHeight="1" x14ac:dyDescent="0.3"/>
    <row r="1274" ht="13.5" customHeight="1" x14ac:dyDescent="0.3"/>
    <row r="1275" ht="13.5" customHeight="1" x14ac:dyDescent="0.3"/>
    <row r="1276" ht="13.5" customHeight="1" x14ac:dyDescent="0.3"/>
    <row r="1277" ht="13.5" customHeight="1" x14ac:dyDescent="0.3"/>
    <row r="1278" ht="13.5" customHeight="1" x14ac:dyDescent="0.3"/>
    <row r="1279" ht="13.5" customHeight="1" x14ac:dyDescent="0.3"/>
    <row r="1280" ht="13.5" customHeight="1" x14ac:dyDescent="0.3"/>
    <row r="1281" ht="13.5" customHeight="1" x14ac:dyDescent="0.3"/>
    <row r="1282" ht="13.5" customHeight="1" x14ac:dyDescent="0.3"/>
    <row r="1283" ht="13.5" customHeight="1" x14ac:dyDescent="0.3"/>
    <row r="1284" ht="13.5" customHeight="1" x14ac:dyDescent="0.3"/>
    <row r="1285" ht="13.5" customHeight="1" x14ac:dyDescent="0.3"/>
    <row r="1286" ht="13.5" customHeight="1" x14ac:dyDescent="0.3"/>
    <row r="1287" ht="13.5" customHeight="1" x14ac:dyDescent="0.3"/>
    <row r="1288" ht="13.5" customHeight="1" x14ac:dyDescent="0.3"/>
    <row r="1289" ht="13.5" customHeight="1" x14ac:dyDescent="0.3"/>
    <row r="1290" ht="13.5" customHeight="1" x14ac:dyDescent="0.3"/>
    <row r="1291" ht="13.5" customHeight="1" x14ac:dyDescent="0.3"/>
    <row r="1292" ht="13.5" customHeight="1" x14ac:dyDescent="0.3"/>
    <row r="1293" ht="13.5" customHeight="1" x14ac:dyDescent="0.3"/>
    <row r="1294" ht="13.5" customHeight="1" x14ac:dyDescent="0.3"/>
    <row r="1295" ht="13.5" customHeight="1" x14ac:dyDescent="0.3"/>
    <row r="1296" ht="13.5" customHeight="1" x14ac:dyDescent="0.3"/>
    <row r="1297" ht="13.5" customHeight="1" x14ac:dyDescent="0.3"/>
    <row r="1298" ht="13.5" customHeight="1" x14ac:dyDescent="0.3"/>
    <row r="1299" ht="13.5" customHeight="1" x14ac:dyDescent="0.3"/>
    <row r="1300" ht="13.5" customHeight="1" x14ac:dyDescent="0.3"/>
    <row r="1301" ht="13.5" customHeight="1" x14ac:dyDescent="0.3"/>
    <row r="1302" ht="13.5" customHeight="1" x14ac:dyDescent="0.3"/>
    <row r="1303" ht="13.5" customHeight="1" x14ac:dyDescent="0.3"/>
    <row r="1304" ht="13.5" customHeight="1" x14ac:dyDescent="0.3"/>
    <row r="1305" ht="13.5" customHeight="1" x14ac:dyDescent="0.3"/>
    <row r="1306" ht="13.5" customHeight="1" x14ac:dyDescent="0.3"/>
    <row r="1307" ht="13.5" customHeight="1" x14ac:dyDescent="0.3"/>
    <row r="1308" ht="13.5" customHeight="1" x14ac:dyDescent="0.3"/>
    <row r="1309" ht="13.5" customHeight="1" x14ac:dyDescent="0.3"/>
    <row r="1310" ht="13.5" customHeight="1" x14ac:dyDescent="0.3"/>
    <row r="1311" ht="13.5" customHeight="1" x14ac:dyDescent="0.3"/>
    <row r="1312" ht="13.5" customHeight="1" x14ac:dyDescent="0.3"/>
    <row r="1313" ht="13.5" customHeight="1" x14ac:dyDescent="0.3"/>
    <row r="1314" ht="13.5" customHeight="1" x14ac:dyDescent="0.3"/>
    <row r="1315" ht="13.5" customHeight="1" x14ac:dyDescent="0.3"/>
    <row r="1316" ht="13.5" customHeight="1" x14ac:dyDescent="0.3"/>
    <row r="1317" ht="13.5" customHeight="1" x14ac:dyDescent="0.3"/>
    <row r="1318" ht="13.5" customHeight="1" x14ac:dyDescent="0.3"/>
    <row r="1319" ht="13.5" customHeight="1" x14ac:dyDescent="0.3"/>
    <row r="1320" ht="13.5" customHeight="1" x14ac:dyDescent="0.3"/>
    <row r="1321" ht="13.5" customHeight="1" x14ac:dyDescent="0.3"/>
    <row r="1322" ht="13.5" customHeight="1" x14ac:dyDescent="0.3"/>
    <row r="1323" ht="13.5" customHeight="1" x14ac:dyDescent="0.3"/>
    <row r="1324" ht="13.5" customHeight="1" x14ac:dyDescent="0.3"/>
    <row r="1325" ht="13.5" customHeight="1" x14ac:dyDescent="0.3"/>
    <row r="1326" ht="13.5" customHeight="1" x14ac:dyDescent="0.3"/>
    <row r="1327" ht="13.5" customHeight="1" x14ac:dyDescent="0.3"/>
    <row r="1328" ht="13.5" customHeight="1" x14ac:dyDescent="0.3"/>
    <row r="1329" ht="13.5" customHeight="1" x14ac:dyDescent="0.3"/>
    <row r="1330" ht="13.5" customHeight="1" x14ac:dyDescent="0.3"/>
    <row r="1331" ht="13.5" customHeight="1" x14ac:dyDescent="0.3"/>
    <row r="1332" ht="13.5" customHeight="1" x14ac:dyDescent="0.3"/>
    <row r="1333" ht="13.5" customHeight="1" x14ac:dyDescent="0.3"/>
    <row r="1334" ht="13.5" customHeight="1" x14ac:dyDescent="0.3"/>
    <row r="1335" ht="13.5" customHeight="1" x14ac:dyDescent="0.3"/>
    <row r="1336" ht="13.5" customHeight="1" x14ac:dyDescent="0.3"/>
    <row r="1337" ht="13.5" customHeight="1" x14ac:dyDescent="0.3"/>
    <row r="1338" ht="13.5" customHeight="1" x14ac:dyDescent="0.3"/>
    <row r="1339" ht="13.5" customHeight="1" x14ac:dyDescent="0.3"/>
    <row r="1340" ht="13.5" customHeight="1" x14ac:dyDescent="0.3"/>
    <row r="1341" ht="13.5" customHeight="1" x14ac:dyDescent="0.3"/>
    <row r="1342" ht="13.5" customHeight="1" x14ac:dyDescent="0.3"/>
    <row r="1343" ht="13.5" customHeight="1" x14ac:dyDescent="0.3"/>
    <row r="1344" ht="13.5" customHeight="1" x14ac:dyDescent="0.3"/>
    <row r="1345" ht="13.5" customHeight="1" x14ac:dyDescent="0.3"/>
    <row r="1346" ht="13.5" customHeight="1" x14ac:dyDescent="0.3"/>
    <row r="1347" ht="13.5" customHeight="1" x14ac:dyDescent="0.3"/>
    <row r="1348" ht="13.5" customHeight="1" x14ac:dyDescent="0.3"/>
    <row r="1349" ht="13.5" customHeight="1" x14ac:dyDescent="0.3"/>
    <row r="1350" ht="13.5" customHeight="1" x14ac:dyDescent="0.3"/>
    <row r="1351" ht="13.5" customHeight="1" x14ac:dyDescent="0.3"/>
    <row r="1352" ht="13.5" customHeight="1" x14ac:dyDescent="0.3"/>
    <row r="1353" ht="13.5" customHeight="1" x14ac:dyDescent="0.3"/>
    <row r="1354" ht="13.5" customHeight="1" x14ac:dyDescent="0.3"/>
    <row r="1355" ht="13.5" customHeight="1" x14ac:dyDescent="0.3"/>
    <row r="1356" ht="13.5" customHeight="1" x14ac:dyDescent="0.3"/>
    <row r="1357" ht="13.5" customHeight="1" x14ac:dyDescent="0.3"/>
    <row r="1358" ht="13.5" customHeight="1" x14ac:dyDescent="0.3"/>
    <row r="1359" ht="13.5" customHeight="1" x14ac:dyDescent="0.3"/>
    <row r="1360" ht="13.5" customHeight="1" x14ac:dyDescent="0.3"/>
    <row r="1361" ht="13.5" customHeight="1" x14ac:dyDescent="0.3"/>
    <row r="1362" ht="13.5" customHeight="1" x14ac:dyDescent="0.3"/>
    <row r="1363" ht="13.5" customHeight="1" x14ac:dyDescent="0.3"/>
    <row r="1364" ht="13.5" customHeight="1" x14ac:dyDescent="0.3"/>
    <row r="1365" ht="13.5" customHeight="1" x14ac:dyDescent="0.3"/>
    <row r="1366" ht="13.5" customHeight="1" x14ac:dyDescent="0.3"/>
    <row r="1367" ht="13.5" customHeight="1" x14ac:dyDescent="0.3"/>
    <row r="1368" ht="13.5" customHeight="1" x14ac:dyDescent="0.3"/>
    <row r="1369" ht="13.5" customHeight="1" x14ac:dyDescent="0.3"/>
    <row r="1370" ht="13.5" customHeight="1" x14ac:dyDescent="0.3"/>
    <row r="1371" ht="13.5" customHeight="1" x14ac:dyDescent="0.3"/>
    <row r="1372" ht="13.5" customHeight="1" x14ac:dyDescent="0.3"/>
    <row r="1373" ht="13.5" customHeight="1" x14ac:dyDescent="0.3"/>
    <row r="1374" ht="13.5" customHeight="1" x14ac:dyDescent="0.3"/>
    <row r="1375" ht="13.5" customHeight="1" x14ac:dyDescent="0.3"/>
    <row r="1376" ht="13.5" customHeight="1" x14ac:dyDescent="0.3"/>
    <row r="1377" ht="13.5" customHeight="1" x14ac:dyDescent="0.3"/>
    <row r="1378" ht="13.5" customHeight="1" x14ac:dyDescent="0.3"/>
    <row r="1379" ht="13.5" customHeight="1" x14ac:dyDescent="0.3"/>
    <row r="1380" ht="13.5" customHeight="1" x14ac:dyDescent="0.3"/>
    <row r="1381" ht="13.5" customHeight="1" x14ac:dyDescent="0.3"/>
    <row r="1382" ht="13.5" customHeight="1" x14ac:dyDescent="0.3"/>
    <row r="1383" ht="13.5" customHeight="1" x14ac:dyDescent="0.3"/>
    <row r="1384" ht="13.5" customHeight="1" x14ac:dyDescent="0.3"/>
    <row r="1385" ht="13.5" customHeight="1" x14ac:dyDescent="0.3"/>
    <row r="1386" ht="13.5" customHeight="1" x14ac:dyDescent="0.3"/>
    <row r="1387" ht="13.5" customHeight="1" x14ac:dyDescent="0.3"/>
    <row r="1388" ht="13.5" customHeight="1" x14ac:dyDescent="0.3"/>
    <row r="1389" ht="13.5" customHeight="1" x14ac:dyDescent="0.3"/>
    <row r="1390" ht="13.5" customHeight="1" x14ac:dyDescent="0.3"/>
    <row r="1391" ht="13.5" customHeight="1" x14ac:dyDescent="0.3"/>
    <row r="1392" ht="13.5" customHeight="1" x14ac:dyDescent="0.3"/>
    <row r="1393" ht="13.5" customHeight="1" x14ac:dyDescent="0.3"/>
    <row r="1394" ht="13.5" customHeight="1" x14ac:dyDescent="0.3"/>
    <row r="1395" ht="13.5" customHeight="1" x14ac:dyDescent="0.3"/>
    <row r="1396" ht="13.5" customHeight="1" x14ac:dyDescent="0.3"/>
    <row r="1397" ht="13.5" customHeight="1" x14ac:dyDescent="0.3"/>
    <row r="1398" ht="13.5" customHeight="1" x14ac:dyDescent="0.3"/>
    <row r="1399" ht="13.5" customHeight="1" x14ac:dyDescent="0.3"/>
    <row r="1400" ht="13.5" customHeight="1" x14ac:dyDescent="0.3"/>
    <row r="1401" ht="13.5" customHeight="1" x14ac:dyDescent="0.3"/>
    <row r="1402" ht="13.5" customHeight="1" x14ac:dyDescent="0.3"/>
    <row r="1403" ht="13.5" customHeight="1" x14ac:dyDescent="0.3"/>
    <row r="1404" ht="13.5" customHeight="1" x14ac:dyDescent="0.3"/>
    <row r="1405" ht="13.5" customHeight="1" x14ac:dyDescent="0.3"/>
    <row r="1406" ht="13.5" customHeight="1" x14ac:dyDescent="0.3"/>
    <row r="1407" ht="13.5" customHeight="1" x14ac:dyDescent="0.3"/>
    <row r="1408" ht="13.5" customHeight="1" x14ac:dyDescent="0.3"/>
    <row r="1409" ht="13.5" customHeight="1" x14ac:dyDescent="0.3"/>
    <row r="1410" ht="13.5" customHeight="1" x14ac:dyDescent="0.3"/>
    <row r="1411" ht="13.5" customHeight="1" x14ac:dyDescent="0.3"/>
    <row r="1412" ht="13.5" customHeight="1" x14ac:dyDescent="0.3"/>
    <row r="1413" ht="13.5" customHeight="1" x14ac:dyDescent="0.3"/>
    <row r="1414" ht="13.5" customHeight="1" x14ac:dyDescent="0.3"/>
    <row r="1415" ht="13.5" customHeight="1" x14ac:dyDescent="0.3"/>
    <row r="1416" ht="13.5" customHeight="1" x14ac:dyDescent="0.3"/>
    <row r="1417" ht="13.5" customHeight="1" x14ac:dyDescent="0.3"/>
    <row r="1418" ht="13.5" customHeight="1" x14ac:dyDescent="0.3"/>
    <row r="1419" ht="13.5" customHeight="1" x14ac:dyDescent="0.3"/>
    <row r="1420" ht="13.5" customHeight="1" x14ac:dyDescent="0.3"/>
    <row r="1421" ht="13.5" customHeight="1" x14ac:dyDescent="0.3"/>
    <row r="1422" ht="13.5" customHeight="1" x14ac:dyDescent="0.3"/>
    <row r="1423" ht="13.5" customHeight="1" x14ac:dyDescent="0.3"/>
    <row r="1424" ht="13.5" customHeight="1" x14ac:dyDescent="0.3"/>
    <row r="1425" ht="13.5" customHeight="1" x14ac:dyDescent="0.3"/>
    <row r="1426" ht="13.5" customHeight="1" x14ac:dyDescent="0.3"/>
    <row r="1427" ht="13.5" customHeight="1" x14ac:dyDescent="0.3"/>
    <row r="1428" ht="13.5" customHeight="1" x14ac:dyDescent="0.3"/>
    <row r="1429" ht="13.5" customHeight="1" x14ac:dyDescent="0.3"/>
    <row r="1430" ht="13.5" customHeight="1" x14ac:dyDescent="0.3"/>
    <row r="1431" ht="13.5" customHeight="1" x14ac:dyDescent="0.3"/>
    <row r="1432" ht="13.5" customHeight="1" x14ac:dyDescent="0.3"/>
    <row r="1433" ht="13.5" customHeight="1" x14ac:dyDescent="0.3"/>
    <row r="1434" ht="13.5" customHeight="1" x14ac:dyDescent="0.3"/>
    <row r="1435" ht="13.5" customHeight="1" x14ac:dyDescent="0.3"/>
    <row r="1436" ht="13.5" customHeight="1" x14ac:dyDescent="0.3"/>
    <row r="1437" ht="13.5" customHeight="1" x14ac:dyDescent="0.3"/>
    <row r="1438" ht="13.5" customHeight="1" x14ac:dyDescent="0.3"/>
    <row r="1439" ht="13.5" customHeight="1" x14ac:dyDescent="0.3"/>
    <row r="1440" ht="13.5" customHeight="1" x14ac:dyDescent="0.3"/>
    <row r="1441" ht="13.5" customHeight="1" x14ac:dyDescent="0.3"/>
    <row r="1442" ht="13.5" customHeight="1" x14ac:dyDescent="0.3"/>
    <row r="1443" ht="13.5" customHeight="1" x14ac:dyDescent="0.3"/>
    <row r="1444" ht="13.5" customHeight="1" x14ac:dyDescent="0.3"/>
    <row r="1445" ht="13.5" customHeight="1" x14ac:dyDescent="0.3"/>
    <row r="1446" ht="13.5" customHeight="1" x14ac:dyDescent="0.3"/>
    <row r="1447" ht="13.5" customHeight="1" x14ac:dyDescent="0.3"/>
    <row r="1448" ht="13.5" customHeight="1" x14ac:dyDescent="0.3"/>
    <row r="1449" ht="13.5" customHeight="1" x14ac:dyDescent="0.3"/>
    <row r="1450" ht="13.5" customHeight="1" x14ac:dyDescent="0.3"/>
    <row r="1451" ht="13.5" customHeight="1" x14ac:dyDescent="0.3"/>
    <row r="1452" ht="13.5" customHeight="1" x14ac:dyDescent="0.3"/>
    <row r="1453" ht="13.5" customHeight="1" x14ac:dyDescent="0.3"/>
    <row r="1454" ht="13.5" customHeight="1" x14ac:dyDescent="0.3"/>
    <row r="1455" ht="13.5" customHeight="1" x14ac:dyDescent="0.3"/>
    <row r="1456" ht="13.5" customHeight="1" x14ac:dyDescent="0.3"/>
    <row r="1457" ht="13.5" customHeight="1" x14ac:dyDescent="0.3"/>
    <row r="1458" ht="13.5" customHeight="1" x14ac:dyDescent="0.3"/>
    <row r="1459" ht="13.5" customHeight="1" x14ac:dyDescent="0.3"/>
    <row r="1460" ht="13.5" customHeight="1" x14ac:dyDescent="0.3"/>
    <row r="1461" ht="13.5" customHeight="1" x14ac:dyDescent="0.3"/>
    <row r="1462" ht="13.5" customHeight="1" x14ac:dyDescent="0.3"/>
    <row r="1463" ht="13.5" customHeight="1" x14ac:dyDescent="0.3"/>
    <row r="1464" ht="13.5" customHeight="1" x14ac:dyDescent="0.3"/>
    <row r="1465" ht="13.5" customHeight="1" x14ac:dyDescent="0.3"/>
    <row r="1466" ht="13.5" customHeight="1" x14ac:dyDescent="0.3"/>
    <row r="1467" ht="13.5" customHeight="1" x14ac:dyDescent="0.3"/>
    <row r="1468" ht="13.5" customHeight="1" x14ac:dyDescent="0.3"/>
    <row r="1469" ht="13.5" customHeight="1" x14ac:dyDescent="0.3"/>
    <row r="1470" ht="13.5" customHeight="1" x14ac:dyDescent="0.3"/>
    <row r="1471" ht="13.5" customHeight="1" x14ac:dyDescent="0.3"/>
    <row r="1472" ht="13.5" customHeight="1" x14ac:dyDescent="0.3"/>
    <row r="1473" ht="13.5" customHeight="1" x14ac:dyDescent="0.3"/>
    <row r="1474" ht="13.5" customHeight="1" x14ac:dyDescent="0.3"/>
    <row r="1475" ht="13.5" customHeight="1" x14ac:dyDescent="0.3"/>
    <row r="1476" ht="13.5" customHeight="1" x14ac:dyDescent="0.3"/>
    <row r="1477" ht="13.5" customHeight="1" x14ac:dyDescent="0.3"/>
    <row r="1478" ht="13.5" customHeight="1" x14ac:dyDescent="0.3"/>
    <row r="1479" ht="13.5" customHeight="1" x14ac:dyDescent="0.3"/>
    <row r="1480" ht="13.5" customHeight="1" x14ac:dyDescent="0.3"/>
    <row r="1481" ht="13.5" customHeight="1" x14ac:dyDescent="0.3"/>
    <row r="1482" ht="13.5" customHeight="1" x14ac:dyDescent="0.3"/>
    <row r="1483" ht="13.5" customHeight="1" x14ac:dyDescent="0.3"/>
    <row r="1484" ht="13.5" customHeight="1" x14ac:dyDescent="0.3"/>
    <row r="1485" ht="13.5" customHeight="1" x14ac:dyDescent="0.3"/>
    <row r="1486" ht="13.5" customHeight="1" x14ac:dyDescent="0.3"/>
    <row r="1487" ht="13.5" customHeight="1" x14ac:dyDescent="0.3"/>
    <row r="1488" ht="13.5" customHeight="1" x14ac:dyDescent="0.3"/>
    <row r="1489" ht="13.5" customHeight="1" x14ac:dyDescent="0.3"/>
    <row r="1490" ht="13.5" customHeight="1" x14ac:dyDescent="0.3"/>
    <row r="1491" ht="13.5" customHeight="1" x14ac:dyDescent="0.3"/>
    <row r="1492" ht="13.5" customHeight="1" x14ac:dyDescent="0.3"/>
    <row r="1493" ht="13.5" customHeight="1" x14ac:dyDescent="0.3"/>
    <row r="1494" ht="13.5" customHeight="1" x14ac:dyDescent="0.3"/>
    <row r="1495" ht="13.5" customHeight="1" x14ac:dyDescent="0.3"/>
    <row r="1496" ht="13.5" customHeight="1" x14ac:dyDescent="0.3"/>
    <row r="1497" ht="13.5" customHeight="1" x14ac:dyDescent="0.3"/>
    <row r="1498" ht="13.5" customHeight="1" x14ac:dyDescent="0.3"/>
    <row r="1499" ht="13.5" customHeight="1" x14ac:dyDescent="0.3"/>
    <row r="1500" ht="13.5" customHeight="1" x14ac:dyDescent="0.3"/>
    <row r="1501" ht="13.5" customHeight="1" x14ac:dyDescent="0.3"/>
    <row r="1502" ht="13.5" customHeight="1" x14ac:dyDescent="0.3"/>
    <row r="1503" ht="13.5" customHeight="1" x14ac:dyDescent="0.3"/>
    <row r="1504" ht="13.5" customHeight="1" x14ac:dyDescent="0.3"/>
    <row r="1505" ht="13.5" customHeight="1" x14ac:dyDescent="0.3"/>
    <row r="1506" ht="13.5" customHeight="1" x14ac:dyDescent="0.3"/>
    <row r="1507" ht="13.5" customHeight="1" x14ac:dyDescent="0.3"/>
    <row r="1508" ht="13.5" customHeight="1" x14ac:dyDescent="0.3"/>
    <row r="1509" ht="13.5" customHeight="1" x14ac:dyDescent="0.3"/>
    <row r="1510" ht="13.5" customHeight="1" x14ac:dyDescent="0.3"/>
    <row r="1511" ht="13.5" customHeight="1" x14ac:dyDescent="0.3"/>
    <row r="1512" ht="13.5" customHeight="1" x14ac:dyDescent="0.3"/>
    <row r="1513" ht="13.5" customHeight="1" x14ac:dyDescent="0.3"/>
    <row r="1514" ht="13.5" customHeight="1" x14ac:dyDescent="0.3"/>
    <row r="1515" ht="13.5" customHeight="1" x14ac:dyDescent="0.3"/>
    <row r="1516" ht="13.5" customHeight="1" x14ac:dyDescent="0.3"/>
    <row r="1517" ht="13.5" customHeight="1" x14ac:dyDescent="0.3"/>
    <row r="1518" ht="13.5" customHeight="1" x14ac:dyDescent="0.3"/>
    <row r="1519" ht="13.5" customHeight="1" x14ac:dyDescent="0.3"/>
    <row r="1520" ht="13.5" customHeight="1" x14ac:dyDescent="0.3"/>
    <row r="1521" ht="13.5" customHeight="1" x14ac:dyDescent="0.3"/>
    <row r="1522" ht="13.5" customHeight="1" x14ac:dyDescent="0.3"/>
    <row r="1523" ht="13.5" customHeight="1" x14ac:dyDescent="0.3"/>
    <row r="1524" ht="13.5" customHeight="1" x14ac:dyDescent="0.3"/>
    <row r="1525" ht="13.5" customHeight="1" x14ac:dyDescent="0.3"/>
    <row r="1526" ht="13.5" customHeight="1" x14ac:dyDescent="0.3"/>
    <row r="1527" ht="13.5" customHeight="1" x14ac:dyDescent="0.3"/>
    <row r="1528" ht="13.5" customHeight="1" x14ac:dyDescent="0.3"/>
    <row r="1529" ht="13.5" customHeight="1" x14ac:dyDescent="0.3"/>
    <row r="1530" ht="13.5" customHeight="1" x14ac:dyDescent="0.3"/>
    <row r="1531" ht="13.5" customHeight="1" x14ac:dyDescent="0.3"/>
    <row r="1532" ht="13.5" customHeight="1" x14ac:dyDescent="0.3"/>
    <row r="1533" ht="13.5" customHeight="1" x14ac:dyDescent="0.3"/>
    <row r="1534" ht="13.5" customHeight="1" x14ac:dyDescent="0.3"/>
    <row r="1535" ht="13.5" customHeight="1" x14ac:dyDescent="0.3"/>
    <row r="1536" ht="13.5" customHeight="1" x14ac:dyDescent="0.3"/>
    <row r="1537" ht="13.5" customHeight="1" x14ac:dyDescent="0.3"/>
    <row r="1538" ht="13.5" customHeight="1" x14ac:dyDescent="0.3"/>
    <row r="1539" ht="13.5" customHeight="1" x14ac:dyDescent="0.3"/>
    <row r="1540" ht="13.5" customHeight="1" x14ac:dyDescent="0.3"/>
    <row r="1541" ht="13.5" customHeight="1" x14ac:dyDescent="0.3"/>
    <row r="1542" ht="13.5" customHeight="1" x14ac:dyDescent="0.3"/>
    <row r="1543" ht="13.5" customHeight="1" x14ac:dyDescent="0.3"/>
    <row r="1544" ht="13.5" customHeight="1" x14ac:dyDescent="0.3"/>
    <row r="1545" ht="13.5" customHeight="1" x14ac:dyDescent="0.3"/>
    <row r="1546" ht="13.5" customHeight="1" x14ac:dyDescent="0.3"/>
    <row r="1547" ht="13.5" customHeight="1" x14ac:dyDescent="0.3"/>
    <row r="1548" ht="13.5" customHeight="1" x14ac:dyDescent="0.3"/>
    <row r="1549" ht="13.5" customHeight="1" x14ac:dyDescent="0.3"/>
    <row r="1550" ht="13.5" customHeight="1" x14ac:dyDescent="0.3"/>
    <row r="1551" ht="13.5" customHeight="1" x14ac:dyDescent="0.3"/>
    <row r="1552" ht="13.5" customHeight="1" x14ac:dyDescent="0.3"/>
    <row r="1553" ht="13.5" customHeight="1" x14ac:dyDescent="0.3"/>
    <row r="1554" ht="13.5" customHeight="1" x14ac:dyDescent="0.3"/>
    <row r="1555" ht="13.5" customHeight="1" x14ac:dyDescent="0.3"/>
    <row r="1556" ht="13.5" customHeight="1" x14ac:dyDescent="0.3"/>
    <row r="1557" ht="13.5" customHeight="1" x14ac:dyDescent="0.3"/>
    <row r="1558" ht="13.5" customHeight="1" x14ac:dyDescent="0.3"/>
    <row r="1559" ht="13.5" customHeight="1" x14ac:dyDescent="0.3"/>
    <row r="1560" ht="13.5" customHeight="1" x14ac:dyDescent="0.3"/>
    <row r="1561" ht="13.5" customHeight="1" x14ac:dyDescent="0.3"/>
    <row r="1562" ht="13.5" customHeight="1" x14ac:dyDescent="0.3"/>
    <row r="1563" ht="13.5" customHeight="1" x14ac:dyDescent="0.3"/>
    <row r="1564" ht="13.5" customHeight="1" x14ac:dyDescent="0.3"/>
    <row r="1565" ht="13.5" customHeight="1" x14ac:dyDescent="0.3"/>
    <row r="1566" ht="13.5" customHeight="1" x14ac:dyDescent="0.3"/>
    <row r="1567" ht="13.5" customHeight="1" x14ac:dyDescent="0.3"/>
    <row r="1568" ht="13.5" customHeight="1" x14ac:dyDescent="0.3"/>
    <row r="1569" ht="13.5" customHeight="1" x14ac:dyDescent="0.3"/>
    <row r="1570" ht="13.5" customHeight="1" x14ac:dyDescent="0.3"/>
    <row r="1571" ht="13.5" customHeight="1" x14ac:dyDescent="0.3"/>
    <row r="1572" ht="13.5" customHeight="1" x14ac:dyDescent="0.3"/>
    <row r="1573" ht="13.5" customHeight="1" x14ac:dyDescent="0.3"/>
    <row r="1574" ht="13.5" customHeight="1" x14ac:dyDescent="0.3"/>
    <row r="1575" ht="13.5" customHeight="1" x14ac:dyDescent="0.3"/>
    <row r="1576" ht="13.5" customHeight="1" x14ac:dyDescent="0.3"/>
    <row r="1577" ht="13.5" customHeight="1" x14ac:dyDescent="0.3"/>
    <row r="1578" ht="13.5" customHeight="1" x14ac:dyDescent="0.3"/>
    <row r="1579" ht="13.5" customHeight="1" x14ac:dyDescent="0.3"/>
    <row r="1580" ht="13.5" customHeight="1" x14ac:dyDescent="0.3"/>
    <row r="1581" ht="13.5" customHeight="1" x14ac:dyDescent="0.3"/>
    <row r="1582" ht="13.5" customHeight="1" x14ac:dyDescent="0.3"/>
    <row r="1583" ht="13.5" customHeight="1" x14ac:dyDescent="0.3"/>
    <row r="1584" ht="13.5" customHeight="1" x14ac:dyDescent="0.3"/>
    <row r="1585" ht="13.5" customHeight="1" x14ac:dyDescent="0.3"/>
    <row r="1586" ht="13.5" customHeight="1" x14ac:dyDescent="0.3"/>
    <row r="1587" ht="13.5" customHeight="1" x14ac:dyDescent="0.3"/>
    <row r="1588" ht="13.5" customHeight="1" x14ac:dyDescent="0.3"/>
    <row r="1589" ht="13.5" customHeight="1" x14ac:dyDescent="0.3"/>
    <row r="1590" ht="13.5" customHeight="1" x14ac:dyDescent="0.3"/>
    <row r="1591" ht="13.5" customHeight="1" x14ac:dyDescent="0.3"/>
    <row r="1592" ht="13.5" customHeight="1" x14ac:dyDescent="0.3"/>
    <row r="1593" ht="13.5" customHeight="1" x14ac:dyDescent="0.3"/>
    <row r="1594" ht="13.5" customHeight="1" x14ac:dyDescent="0.3"/>
    <row r="1595" ht="13.5" customHeight="1" x14ac:dyDescent="0.3"/>
    <row r="1596" ht="13.5" customHeight="1" x14ac:dyDescent="0.3"/>
    <row r="1597" ht="13.5" customHeight="1" x14ac:dyDescent="0.3"/>
    <row r="1598" ht="13.5" customHeight="1" x14ac:dyDescent="0.3"/>
    <row r="1599" ht="13.5" customHeight="1" x14ac:dyDescent="0.3"/>
    <row r="1600" ht="13.5" customHeight="1" x14ac:dyDescent="0.3"/>
    <row r="1601" ht="13.5" customHeight="1" x14ac:dyDescent="0.3"/>
    <row r="1602" ht="13.5" customHeight="1" x14ac:dyDescent="0.3"/>
    <row r="1603" ht="13.5" customHeight="1" x14ac:dyDescent="0.3"/>
    <row r="1604" ht="13.5" customHeight="1" x14ac:dyDescent="0.3"/>
    <row r="1605" ht="13.5" customHeight="1" x14ac:dyDescent="0.3"/>
    <row r="1606" ht="13.5" customHeight="1" x14ac:dyDescent="0.3"/>
    <row r="1607" ht="13.5" customHeight="1" x14ac:dyDescent="0.3"/>
    <row r="1608" ht="13.5" customHeight="1" x14ac:dyDescent="0.3"/>
    <row r="1609" ht="13.5" customHeight="1" x14ac:dyDescent="0.3"/>
    <row r="1610" ht="13.5" customHeight="1" x14ac:dyDescent="0.3"/>
    <row r="1611" ht="13.5" customHeight="1" x14ac:dyDescent="0.3"/>
    <row r="1612" ht="13.5" customHeight="1" x14ac:dyDescent="0.3"/>
    <row r="1613" ht="13.5" customHeight="1" x14ac:dyDescent="0.3"/>
    <row r="1614" ht="13.5" customHeight="1" x14ac:dyDescent="0.3"/>
    <row r="1615" ht="13.5" customHeight="1" x14ac:dyDescent="0.3"/>
    <row r="1616" ht="13.5" customHeight="1" x14ac:dyDescent="0.3"/>
    <row r="1617" ht="13.5" customHeight="1" x14ac:dyDescent="0.3"/>
    <row r="1618" ht="13.5" customHeight="1" x14ac:dyDescent="0.3"/>
    <row r="1619" ht="13.5" customHeight="1" x14ac:dyDescent="0.3"/>
    <row r="1620" ht="13.5" customHeight="1" x14ac:dyDescent="0.3"/>
    <row r="1621" ht="13.5" customHeight="1" x14ac:dyDescent="0.3"/>
    <row r="1622" ht="13.5" customHeight="1" x14ac:dyDescent="0.3"/>
    <row r="1623" ht="13.5" customHeight="1" x14ac:dyDescent="0.3"/>
    <row r="1624" ht="13.5" customHeight="1" x14ac:dyDescent="0.3"/>
    <row r="1625" ht="13.5" customHeight="1" x14ac:dyDescent="0.3"/>
    <row r="1626" ht="13.5" customHeight="1" x14ac:dyDescent="0.3"/>
    <row r="1627" ht="13.5" customHeight="1" x14ac:dyDescent="0.3"/>
    <row r="1628" ht="13.5" customHeight="1" x14ac:dyDescent="0.3"/>
    <row r="1629" ht="13.5" customHeight="1" x14ac:dyDescent="0.3"/>
    <row r="1630" ht="13.5" customHeight="1" x14ac:dyDescent="0.3"/>
    <row r="1631" ht="13.5" customHeight="1" x14ac:dyDescent="0.3"/>
    <row r="1632" ht="13.5" customHeight="1" x14ac:dyDescent="0.3"/>
    <row r="1633" ht="13.5" customHeight="1" x14ac:dyDescent="0.3"/>
    <row r="1634" ht="13.5" customHeight="1" x14ac:dyDescent="0.3"/>
    <row r="1635" ht="13.5" customHeight="1" x14ac:dyDescent="0.3"/>
    <row r="1636" ht="13.5" customHeight="1" x14ac:dyDescent="0.3"/>
    <row r="1637" ht="13.5" customHeight="1" x14ac:dyDescent="0.3"/>
    <row r="1638" ht="13.5" customHeight="1" x14ac:dyDescent="0.3"/>
    <row r="1639" ht="13.5" customHeight="1" x14ac:dyDescent="0.3"/>
    <row r="1640" ht="13.5" customHeight="1" x14ac:dyDescent="0.3"/>
    <row r="1641" ht="13.5" customHeight="1" x14ac:dyDescent="0.3"/>
    <row r="1642" ht="13.5" customHeight="1" x14ac:dyDescent="0.3"/>
    <row r="1643" ht="13.5" customHeight="1" x14ac:dyDescent="0.3"/>
    <row r="1644" ht="13.5" customHeight="1" x14ac:dyDescent="0.3"/>
    <row r="1645" ht="13.5" customHeight="1" x14ac:dyDescent="0.3"/>
    <row r="1646" ht="13.5" customHeight="1" x14ac:dyDescent="0.3"/>
    <row r="1647" ht="13.5" customHeight="1" x14ac:dyDescent="0.3"/>
    <row r="1648" ht="13.5" customHeight="1" x14ac:dyDescent="0.3"/>
    <row r="1649" ht="13.5" customHeight="1" x14ac:dyDescent="0.3"/>
    <row r="1650" ht="13.5" customHeight="1" x14ac:dyDescent="0.3"/>
    <row r="1651" ht="13.5" customHeight="1" x14ac:dyDescent="0.3"/>
    <row r="1652" ht="13.5" customHeight="1" x14ac:dyDescent="0.3"/>
    <row r="1653" ht="13.5" customHeight="1" x14ac:dyDescent="0.3"/>
    <row r="1654" ht="13.5" customHeight="1" x14ac:dyDescent="0.3"/>
    <row r="1655" ht="13.5" customHeight="1" x14ac:dyDescent="0.3"/>
    <row r="1656" ht="13.5" customHeight="1" x14ac:dyDescent="0.3"/>
    <row r="1657" ht="13.5" customHeight="1" x14ac:dyDescent="0.3"/>
    <row r="1658" ht="13.5" customHeight="1" x14ac:dyDescent="0.3"/>
    <row r="1659" ht="13.5" customHeight="1" x14ac:dyDescent="0.3"/>
    <row r="1660" ht="13.5" customHeight="1" x14ac:dyDescent="0.3"/>
    <row r="1661" ht="13.5" customHeight="1" x14ac:dyDescent="0.3"/>
    <row r="1662" ht="13.5" customHeight="1" x14ac:dyDescent="0.3"/>
    <row r="1663" ht="13.5" customHeight="1" x14ac:dyDescent="0.3"/>
    <row r="1664" ht="13.5" customHeight="1" x14ac:dyDescent="0.3"/>
    <row r="1665" ht="13.5" customHeight="1" x14ac:dyDescent="0.3"/>
    <row r="1666" ht="13.5" customHeight="1" x14ac:dyDescent="0.3"/>
    <row r="1667" ht="13.5" customHeight="1" x14ac:dyDescent="0.3"/>
    <row r="1668" ht="13.5" customHeight="1" x14ac:dyDescent="0.3"/>
    <row r="1669" ht="13.5" customHeight="1" x14ac:dyDescent="0.3"/>
    <row r="1670" ht="13.5" customHeight="1" x14ac:dyDescent="0.3"/>
    <row r="1671" ht="13.5" customHeight="1" x14ac:dyDescent="0.3"/>
    <row r="1672" ht="13.5" customHeight="1" x14ac:dyDescent="0.3"/>
    <row r="1673" ht="13.5" customHeight="1" x14ac:dyDescent="0.3"/>
    <row r="1674" ht="13.5" customHeight="1" x14ac:dyDescent="0.3"/>
    <row r="1675" ht="13.5" customHeight="1" x14ac:dyDescent="0.3"/>
    <row r="1676" ht="13.5" customHeight="1" x14ac:dyDescent="0.3"/>
    <row r="1677" ht="13.5" customHeight="1" x14ac:dyDescent="0.3"/>
    <row r="1678" ht="13.5" customHeight="1" x14ac:dyDescent="0.3"/>
    <row r="1679" ht="13.5" customHeight="1" x14ac:dyDescent="0.3"/>
    <row r="1680" ht="13.5" customHeight="1" x14ac:dyDescent="0.3"/>
    <row r="1681" ht="13.5" customHeight="1" x14ac:dyDescent="0.3"/>
    <row r="1682" ht="13.5" customHeight="1" x14ac:dyDescent="0.3"/>
    <row r="1683" ht="13.5" customHeight="1" x14ac:dyDescent="0.3"/>
    <row r="1684" ht="13.5" customHeight="1" x14ac:dyDescent="0.3"/>
    <row r="1685" ht="13.5" customHeight="1" x14ac:dyDescent="0.3"/>
    <row r="1686" ht="13.5" customHeight="1" x14ac:dyDescent="0.3"/>
    <row r="1687" ht="13.5" customHeight="1" x14ac:dyDescent="0.3"/>
    <row r="1688" ht="13.5" customHeight="1" x14ac:dyDescent="0.3"/>
    <row r="1689" ht="13.5" customHeight="1" x14ac:dyDescent="0.3"/>
    <row r="1690" ht="13.5" customHeight="1" x14ac:dyDescent="0.3"/>
    <row r="1691" ht="13.5" customHeight="1" x14ac:dyDescent="0.3"/>
    <row r="1692" ht="13.5" customHeight="1" x14ac:dyDescent="0.3"/>
    <row r="1693" ht="13.5" customHeight="1" x14ac:dyDescent="0.3"/>
    <row r="1694" ht="13.5" customHeight="1" x14ac:dyDescent="0.3"/>
    <row r="1695" ht="13.5" customHeight="1" x14ac:dyDescent="0.3"/>
    <row r="1696" ht="13.5" customHeight="1" x14ac:dyDescent="0.3"/>
    <row r="1697" ht="13.5" customHeight="1" x14ac:dyDescent="0.3"/>
    <row r="1698" ht="13.5" customHeight="1" x14ac:dyDescent="0.3"/>
    <row r="1699" ht="13.5" customHeight="1" x14ac:dyDescent="0.3"/>
    <row r="1700" ht="13.5" customHeight="1" x14ac:dyDescent="0.3"/>
    <row r="1701" ht="13.5" customHeight="1" x14ac:dyDescent="0.3"/>
    <row r="1702" ht="13.5" customHeight="1" x14ac:dyDescent="0.3"/>
    <row r="1703" ht="13.5" customHeight="1" x14ac:dyDescent="0.3"/>
    <row r="1704" ht="13.5" customHeight="1" x14ac:dyDescent="0.3"/>
    <row r="1705" ht="13.5" customHeight="1" x14ac:dyDescent="0.3"/>
    <row r="1706" ht="13.5" customHeight="1" x14ac:dyDescent="0.3"/>
    <row r="1707" ht="13.5" customHeight="1" x14ac:dyDescent="0.3"/>
    <row r="1708" ht="13.5" customHeight="1" x14ac:dyDescent="0.3"/>
    <row r="1709" ht="13.5" customHeight="1" x14ac:dyDescent="0.3"/>
    <row r="1710" ht="13.5" customHeight="1" x14ac:dyDescent="0.3"/>
    <row r="1711" ht="13.5" customHeight="1" x14ac:dyDescent="0.3"/>
    <row r="1712" ht="13.5" customHeight="1" x14ac:dyDescent="0.3"/>
    <row r="1713" ht="13.5" customHeight="1" x14ac:dyDescent="0.3"/>
    <row r="1714" ht="13.5" customHeight="1" x14ac:dyDescent="0.3"/>
    <row r="1715" ht="13.5" customHeight="1" x14ac:dyDescent="0.3"/>
    <row r="1716" ht="13.5" customHeight="1" x14ac:dyDescent="0.3"/>
    <row r="1717" ht="13.5" customHeight="1" x14ac:dyDescent="0.3"/>
    <row r="1718" ht="13.5" customHeight="1" x14ac:dyDescent="0.3"/>
    <row r="1719" ht="13.5" customHeight="1" x14ac:dyDescent="0.3"/>
    <row r="1720" ht="13.5" customHeight="1" x14ac:dyDescent="0.3"/>
    <row r="1721" ht="13.5" customHeight="1" x14ac:dyDescent="0.3"/>
    <row r="1722" ht="13.5" customHeight="1" x14ac:dyDescent="0.3"/>
    <row r="1723" ht="13.5" customHeight="1" x14ac:dyDescent="0.3"/>
    <row r="1724" ht="13.5" customHeight="1" x14ac:dyDescent="0.3"/>
    <row r="1725" ht="13.5" customHeight="1" x14ac:dyDescent="0.3"/>
    <row r="1726" ht="13.5" customHeight="1" x14ac:dyDescent="0.3"/>
    <row r="1727" ht="13.5" customHeight="1" x14ac:dyDescent="0.3"/>
    <row r="1728" ht="13.5" customHeight="1" x14ac:dyDescent="0.3"/>
    <row r="1729" ht="13.5" customHeight="1" x14ac:dyDescent="0.3"/>
    <row r="1730" ht="13.5" customHeight="1" x14ac:dyDescent="0.3"/>
    <row r="1731" ht="13.5" customHeight="1" x14ac:dyDescent="0.3"/>
    <row r="1732" ht="13.5" customHeight="1" x14ac:dyDescent="0.3"/>
    <row r="1733" ht="13.5" customHeight="1" x14ac:dyDescent="0.3"/>
    <row r="1734" ht="13.5" customHeight="1" x14ac:dyDescent="0.3"/>
    <row r="1735" ht="13.5" customHeight="1" x14ac:dyDescent="0.3"/>
    <row r="1736" ht="13.5" customHeight="1" x14ac:dyDescent="0.3"/>
    <row r="1737" ht="13.5" customHeight="1" x14ac:dyDescent="0.3"/>
    <row r="1738" ht="13.5" customHeight="1" x14ac:dyDescent="0.3"/>
    <row r="1739" ht="13.5" customHeight="1" x14ac:dyDescent="0.3"/>
    <row r="1740" ht="13.5" customHeight="1" x14ac:dyDescent="0.3"/>
    <row r="1741" ht="13.5" customHeight="1" x14ac:dyDescent="0.3"/>
    <row r="1742" ht="13.5" customHeight="1" x14ac:dyDescent="0.3"/>
    <row r="1743" ht="13.5" customHeight="1" x14ac:dyDescent="0.3"/>
    <row r="1744" ht="13.5" customHeight="1" x14ac:dyDescent="0.3"/>
    <row r="1745" ht="13.5" customHeight="1" x14ac:dyDescent="0.3"/>
    <row r="1746" ht="13.5" customHeight="1" x14ac:dyDescent="0.3"/>
    <row r="1747" ht="13.5" customHeight="1" x14ac:dyDescent="0.3"/>
    <row r="1748" ht="13.5" customHeight="1" x14ac:dyDescent="0.3"/>
    <row r="1749" ht="13.5" customHeight="1" x14ac:dyDescent="0.3"/>
    <row r="1750" ht="13.5" customHeight="1" x14ac:dyDescent="0.3"/>
    <row r="1751" ht="13.5" customHeight="1" x14ac:dyDescent="0.3"/>
    <row r="1752" ht="13.5" customHeight="1" x14ac:dyDescent="0.3"/>
    <row r="1753" ht="13.5" customHeight="1" x14ac:dyDescent="0.3"/>
    <row r="1754" ht="13.5" customHeight="1" x14ac:dyDescent="0.3"/>
    <row r="1755" ht="13.5" customHeight="1" x14ac:dyDescent="0.3"/>
    <row r="1756" ht="13.5" customHeight="1" x14ac:dyDescent="0.3"/>
    <row r="1757" ht="13.5" customHeight="1" x14ac:dyDescent="0.3"/>
    <row r="1758" ht="13.5" customHeight="1" x14ac:dyDescent="0.3"/>
    <row r="1759" ht="13.5" customHeight="1" x14ac:dyDescent="0.3"/>
    <row r="1760" ht="13.5" customHeight="1" x14ac:dyDescent="0.3"/>
    <row r="1761" ht="13.5" customHeight="1" x14ac:dyDescent="0.3"/>
    <row r="1762" ht="13.5" customHeight="1" x14ac:dyDescent="0.3"/>
    <row r="1763" ht="13.5" customHeight="1" x14ac:dyDescent="0.3"/>
    <row r="1764" ht="13.5" customHeight="1" x14ac:dyDescent="0.3"/>
    <row r="1765" ht="13.5" customHeight="1" x14ac:dyDescent="0.3"/>
    <row r="1766" ht="13.5" customHeight="1" x14ac:dyDescent="0.3"/>
    <row r="1767" ht="13.5" customHeight="1" x14ac:dyDescent="0.3"/>
    <row r="1768" ht="13.5" customHeight="1" x14ac:dyDescent="0.3"/>
    <row r="1769" ht="13.5" customHeight="1" x14ac:dyDescent="0.3"/>
    <row r="1770" ht="13.5" customHeight="1" x14ac:dyDescent="0.3"/>
    <row r="1771" ht="13.5" customHeight="1" x14ac:dyDescent="0.3"/>
    <row r="1772" ht="13.5" customHeight="1" x14ac:dyDescent="0.3"/>
    <row r="1773" ht="13.5" customHeight="1" x14ac:dyDescent="0.3"/>
    <row r="1774" ht="13.5" customHeight="1" x14ac:dyDescent="0.3"/>
    <row r="1775" ht="13.5" customHeight="1" x14ac:dyDescent="0.3"/>
    <row r="1776" ht="13.5" customHeight="1" x14ac:dyDescent="0.3"/>
    <row r="1777" ht="13.5" customHeight="1" x14ac:dyDescent="0.3"/>
    <row r="1778" ht="13.5" customHeight="1" x14ac:dyDescent="0.3"/>
    <row r="1779" ht="13.5" customHeight="1" x14ac:dyDescent="0.3"/>
    <row r="1780" ht="13.5" customHeight="1" x14ac:dyDescent="0.3"/>
    <row r="1781" ht="13.5" customHeight="1" x14ac:dyDescent="0.3"/>
    <row r="1782" ht="13.5" customHeight="1" x14ac:dyDescent="0.3"/>
    <row r="1783" ht="13.5" customHeight="1" x14ac:dyDescent="0.3"/>
    <row r="1784" ht="13.5" customHeight="1" x14ac:dyDescent="0.3"/>
    <row r="1785" ht="13.5" customHeight="1" x14ac:dyDescent="0.3"/>
    <row r="1786" ht="13.5" customHeight="1" x14ac:dyDescent="0.3"/>
    <row r="1787" ht="13.5" customHeight="1" x14ac:dyDescent="0.3"/>
    <row r="1788" ht="13.5" customHeight="1" x14ac:dyDescent="0.3"/>
    <row r="1789" ht="13.5" customHeight="1" x14ac:dyDescent="0.3"/>
    <row r="1790" ht="13.5" customHeight="1" x14ac:dyDescent="0.3"/>
    <row r="1791" ht="13.5" customHeight="1" x14ac:dyDescent="0.3"/>
    <row r="1792" ht="13.5" customHeight="1" x14ac:dyDescent="0.3"/>
    <row r="1793" ht="13.5" customHeight="1" x14ac:dyDescent="0.3"/>
    <row r="1794" ht="13.5" customHeight="1" x14ac:dyDescent="0.3"/>
    <row r="1795" ht="13.5" customHeight="1" x14ac:dyDescent="0.3"/>
    <row r="1796" ht="13.5" customHeight="1" x14ac:dyDescent="0.3"/>
    <row r="1797" ht="13.5" customHeight="1" x14ac:dyDescent="0.3"/>
    <row r="1798" ht="13.5" customHeight="1" x14ac:dyDescent="0.3"/>
    <row r="1799" ht="13.5" customHeight="1" x14ac:dyDescent="0.3"/>
    <row r="1800" ht="13.5" customHeight="1" x14ac:dyDescent="0.3"/>
    <row r="1801" ht="13.5" customHeight="1" x14ac:dyDescent="0.3"/>
    <row r="1802" ht="13.5" customHeight="1" x14ac:dyDescent="0.3"/>
    <row r="1803" ht="13.5" customHeight="1" x14ac:dyDescent="0.3"/>
    <row r="1804" ht="13.5" customHeight="1" x14ac:dyDescent="0.3"/>
    <row r="1805" ht="13.5" customHeight="1" x14ac:dyDescent="0.3"/>
    <row r="1806" ht="13.5" customHeight="1" x14ac:dyDescent="0.3"/>
    <row r="1807" ht="13.5" customHeight="1" x14ac:dyDescent="0.3"/>
    <row r="1808" ht="13.5" customHeight="1" x14ac:dyDescent="0.3"/>
    <row r="1809" ht="13.5" customHeight="1" x14ac:dyDescent="0.3"/>
    <row r="1810" ht="13.5" customHeight="1" x14ac:dyDescent="0.3"/>
    <row r="1811" ht="13.5" customHeight="1" x14ac:dyDescent="0.3"/>
    <row r="1812" ht="13.5" customHeight="1" x14ac:dyDescent="0.3"/>
    <row r="1813" ht="13.5" customHeight="1" x14ac:dyDescent="0.3"/>
    <row r="1814" ht="13.5" customHeight="1" x14ac:dyDescent="0.3"/>
    <row r="1815" ht="13.5" customHeight="1" x14ac:dyDescent="0.3"/>
    <row r="1816" ht="13.5" customHeight="1" x14ac:dyDescent="0.3"/>
    <row r="1817" ht="13.5" customHeight="1" x14ac:dyDescent="0.3"/>
    <row r="1818" ht="13.5" customHeight="1" x14ac:dyDescent="0.3"/>
    <row r="1819" ht="13.5" customHeight="1" x14ac:dyDescent="0.3"/>
    <row r="1820" ht="13.5" customHeight="1" x14ac:dyDescent="0.3"/>
    <row r="1821" ht="13.5" customHeight="1" x14ac:dyDescent="0.3"/>
    <row r="1822" ht="13.5" customHeight="1" x14ac:dyDescent="0.3"/>
    <row r="1823" ht="13.5" customHeight="1" x14ac:dyDescent="0.3"/>
    <row r="1824" ht="13.5" customHeight="1" x14ac:dyDescent="0.3"/>
    <row r="1825" ht="13.5" customHeight="1" x14ac:dyDescent="0.3"/>
    <row r="1826" ht="13.5" customHeight="1" x14ac:dyDescent="0.3"/>
    <row r="1827" ht="13.5" customHeight="1" x14ac:dyDescent="0.3"/>
    <row r="1828" ht="13.5" customHeight="1" x14ac:dyDescent="0.3"/>
    <row r="1829" ht="13.5" customHeight="1" x14ac:dyDescent="0.3"/>
    <row r="1830" ht="13.5" customHeight="1" x14ac:dyDescent="0.3"/>
    <row r="1831" ht="13.5" customHeight="1" x14ac:dyDescent="0.3"/>
    <row r="1832" ht="13.5" customHeight="1" x14ac:dyDescent="0.3"/>
    <row r="1833" ht="13.5" customHeight="1" x14ac:dyDescent="0.3"/>
    <row r="1834" ht="13.5" customHeight="1" x14ac:dyDescent="0.3"/>
    <row r="1835" ht="13.5" customHeight="1" x14ac:dyDescent="0.3"/>
    <row r="1836" ht="13.5" customHeight="1" x14ac:dyDescent="0.3"/>
    <row r="1837" ht="13.5" customHeight="1" x14ac:dyDescent="0.3"/>
    <row r="1838" ht="13.5" customHeight="1" x14ac:dyDescent="0.3"/>
    <row r="1839" ht="13.5" customHeight="1" x14ac:dyDescent="0.3"/>
    <row r="1840" ht="13.5" customHeight="1" x14ac:dyDescent="0.3"/>
    <row r="1841" ht="13.5" customHeight="1" x14ac:dyDescent="0.3"/>
    <row r="1842" ht="13.5" customHeight="1" x14ac:dyDescent="0.3"/>
    <row r="1843" ht="13.5" customHeight="1" x14ac:dyDescent="0.3"/>
    <row r="1844" ht="13.5" customHeight="1" x14ac:dyDescent="0.3"/>
    <row r="1845" ht="13.5" customHeight="1" x14ac:dyDescent="0.3"/>
    <row r="1846" ht="13.5" customHeight="1" x14ac:dyDescent="0.3"/>
    <row r="1847" ht="13.5" customHeight="1" x14ac:dyDescent="0.3"/>
    <row r="1848" ht="13.5" customHeight="1" x14ac:dyDescent="0.3"/>
    <row r="1849" ht="13.5" customHeight="1" x14ac:dyDescent="0.3"/>
    <row r="1850" ht="13.5" customHeight="1" x14ac:dyDescent="0.3"/>
    <row r="1851" ht="13.5" customHeight="1" x14ac:dyDescent="0.3"/>
    <row r="1852" ht="13.5" customHeight="1" x14ac:dyDescent="0.3"/>
    <row r="1853" ht="13.5" customHeight="1" x14ac:dyDescent="0.3"/>
    <row r="1854" ht="13.5" customHeight="1" x14ac:dyDescent="0.3"/>
    <row r="1855" ht="13.5" customHeight="1" x14ac:dyDescent="0.3"/>
    <row r="1856" ht="13.5" customHeight="1" x14ac:dyDescent="0.3"/>
    <row r="1857" ht="13.5" customHeight="1" x14ac:dyDescent="0.3"/>
    <row r="1858" ht="13.5" customHeight="1" x14ac:dyDescent="0.3"/>
    <row r="1859" ht="13.5" customHeight="1" x14ac:dyDescent="0.3"/>
    <row r="1860" ht="13.5" customHeight="1" x14ac:dyDescent="0.3"/>
    <row r="1861" ht="13.5" customHeight="1" x14ac:dyDescent="0.3"/>
    <row r="1862" ht="13.5" customHeight="1" x14ac:dyDescent="0.3"/>
    <row r="1863" ht="13.5" customHeight="1" x14ac:dyDescent="0.3"/>
    <row r="1864" ht="13.5" customHeight="1" x14ac:dyDescent="0.3"/>
    <row r="1865" ht="13.5" customHeight="1" x14ac:dyDescent="0.3"/>
    <row r="1866" ht="13.5" customHeight="1" x14ac:dyDescent="0.3"/>
    <row r="1867" ht="13.5" customHeight="1" x14ac:dyDescent="0.3"/>
    <row r="1868" ht="13.5" customHeight="1" x14ac:dyDescent="0.3"/>
    <row r="1869" ht="13.5" customHeight="1" x14ac:dyDescent="0.3"/>
    <row r="1870" ht="13.5" customHeight="1" x14ac:dyDescent="0.3"/>
    <row r="1871" ht="13.5" customHeight="1" x14ac:dyDescent="0.3"/>
    <row r="1872" ht="13.5" customHeight="1" x14ac:dyDescent="0.3"/>
    <row r="1873" ht="13.5" customHeight="1" x14ac:dyDescent="0.3"/>
    <row r="1874" ht="13.5" customHeight="1" x14ac:dyDescent="0.3"/>
    <row r="1875" ht="13.5" customHeight="1" x14ac:dyDescent="0.3"/>
    <row r="1876" ht="13.5" customHeight="1" x14ac:dyDescent="0.3"/>
    <row r="1877" ht="13.5" customHeight="1" x14ac:dyDescent="0.3"/>
    <row r="1878" ht="13.5" customHeight="1" x14ac:dyDescent="0.3"/>
    <row r="1879" ht="13.5" customHeight="1" x14ac:dyDescent="0.3"/>
    <row r="1880" ht="13.5" customHeight="1" x14ac:dyDescent="0.3"/>
    <row r="1881" ht="13.5" customHeight="1" x14ac:dyDescent="0.3"/>
    <row r="1882" ht="13.5" customHeight="1" x14ac:dyDescent="0.3"/>
    <row r="1883" ht="13.5" customHeight="1" x14ac:dyDescent="0.3"/>
    <row r="1884" ht="13.5" customHeight="1" x14ac:dyDescent="0.3"/>
    <row r="1885" ht="13.5" customHeight="1" x14ac:dyDescent="0.3"/>
    <row r="1886" ht="13.5" customHeight="1" x14ac:dyDescent="0.3"/>
    <row r="1887" ht="13.5" customHeight="1" x14ac:dyDescent="0.3"/>
    <row r="1888" ht="13.5" customHeight="1" x14ac:dyDescent="0.3"/>
    <row r="1889" ht="13.5" customHeight="1" x14ac:dyDescent="0.3"/>
    <row r="1890" ht="13.5" customHeight="1" x14ac:dyDescent="0.3"/>
    <row r="1891" ht="13.5" customHeight="1" x14ac:dyDescent="0.3"/>
    <row r="1892" ht="13.5" customHeight="1" x14ac:dyDescent="0.3"/>
    <row r="1893" ht="13.5" customHeight="1" x14ac:dyDescent="0.3"/>
    <row r="1894" ht="13.5" customHeight="1" x14ac:dyDescent="0.3"/>
    <row r="1895" ht="13.5" customHeight="1" x14ac:dyDescent="0.3"/>
    <row r="1896" ht="13.5" customHeight="1" x14ac:dyDescent="0.3"/>
    <row r="1897" ht="13.5" customHeight="1" x14ac:dyDescent="0.3"/>
    <row r="1898" ht="13.5" customHeight="1" x14ac:dyDescent="0.3"/>
    <row r="1899" ht="13.5" customHeight="1" x14ac:dyDescent="0.3"/>
    <row r="1900" ht="13.5" customHeight="1" x14ac:dyDescent="0.3"/>
    <row r="1901" ht="13.5" customHeight="1" x14ac:dyDescent="0.3"/>
    <row r="1902" ht="13.5" customHeight="1" x14ac:dyDescent="0.3"/>
    <row r="1903" ht="13.5" customHeight="1" x14ac:dyDescent="0.3"/>
    <row r="1904" ht="13.5" customHeight="1" x14ac:dyDescent="0.3"/>
    <row r="1905" ht="13.5" customHeight="1" x14ac:dyDescent="0.3"/>
    <row r="1906" ht="13.5" customHeight="1" x14ac:dyDescent="0.3"/>
    <row r="1907" ht="13.5" customHeight="1" x14ac:dyDescent="0.3"/>
    <row r="1908" ht="13.5" customHeight="1" x14ac:dyDescent="0.3"/>
    <row r="1909" ht="13.5" customHeight="1" x14ac:dyDescent="0.3"/>
    <row r="1910" ht="13.5" customHeight="1" x14ac:dyDescent="0.3"/>
    <row r="1911" ht="13.5" customHeight="1" x14ac:dyDescent="0.3"/>
    <row r="1912" ht="13.5" customHeight="1" x14ac:dyDescent="0.3"/>
    <row r="1913" ht="13.5" customHeight="1" x14ac:dyDescent="0.3"/>
    <row r="1914" ht="13.5" customHeight="1" x14ac:dyDescent="0.3"/>
    <row r="1915" ht="13.5" customHeight="1" x14ac:dyDescent="0.3"/>
    <row r="1916" ht="13.5" customHeight="1" x14ac:dyDescent="0.3"/>
    <row r="1917" ht="13.5" customHeight="1" x14ac:dyDescent="0.3"/>
    <row r="1918" ht="13.5" customHeight="1" x14ac:dyDescent="0.3"/>
    <row r="1919" ht="13.5" customHeight="1" x14ac:dyDescent="0.3"/>
    <row r="1920" ht="13.5" customHeight="1" x14ac:dyDescent="0.3"/>
    <row r="1921" ht="13.5" customHeight="1" x14ac:dyDescent="0.3"/>
    <row r="1922" ht="13.5" customHeight="1" x14ac:dyDescent="0.3"/>
    <row r="1923" ht="13.5" customHeight="1" x14ac:dyDescent="0.3"/>
    <row r="1924" ht="13.5" customHeight="1" x14ac:dyDescent="0.3"/>
    <row r="1925" ht="13.5" customHeight="1" x14ac:dyDescent="0.3"/>
    <row r="1926" ht="13.5" customHeight="1" x14ac:dyDescent="0.3"/>
    <row r="1927" ht="13.5" customHeight="1" x14ac:dyDescent="0.3"/>
    <row r="1928" ht="13.5" customHeight="1" x14ac:dyDescent="0.3"/>
    <row r="1929" ht="13.5" customHeight="1" x14ac:dyDescent="0.3"/>
    <row r="1930" ht="13.5" customHeight="1" x14ac:dyDescent="0.3"/>
    <row r="1931" ht="13.5" customHeight="1" x14ac:dyDescent="0.3"/>
    <row r="1932" ht="13.5" customHeight="1" x14ac:dyDescent="0.3"/>
    <row r="1933" ht="13.5" customHeight="1" x14ac:dyDescent="0.3"/>
    <row r="1934" ht="13.5" customHeight="1" x14ac:dyDescent="0.3"/>
    <row r="1935" ht="13.5" customHeight="1" x14ac:dyDescent="0.3"/>
    <row r="1936" ht="13.5" customHeight="1" x14ac:dyDescent="0.3"/>
    <row r="1937" ht="13.5" customHeight="1" x14ac:dyDescent="0.3"/>
    <row r="1938" ht="13.5" customHeight="1" x14ac:dyDescent="0.3"/>
    <row r="1939" ht="13.5" customHeight="1" x14ac:dyDescent="0.3"/>
    <row r="1940" ht="13.5" customHeight="1" x14ac:dyDescent="0.3"/>
    <row r="1941" ht="13.5" customHeight="1" x14ac:dyDescent="0.3"/>
    <row r="1942" ht="13.5" customHeight="1" x14ac:dyDescent="0.3"/>
    <row r="1943" ht="13.5" customHeight="1" x14ac:dyDescent="0.3"/>
    <row r="1944" ht="13.5" customHeight="1" x14ac:dyDescent="0.3"/>
    <row r="1945" ht="13.5" customHeight="1" x14ac:dyDescent="0.3"/>
    <row r="1946" ht="13.5" customHeight="1" x14ac:dyDescent="0.3"/>
    <row r="1947" ht="13.5" customHeight="1" x14ac:dyDescent="0.3"/>
    <row r="1948" ht="13.5" customHeight="1" x14ac:dyDescent="0.3"/>
    <row r="1949" ht="13.5" customHeight="1" x14ac:dyDescent="0.3"/>
    <row r="1950" ht="13.5" customHeight="1" x14ac:dyDescent="0.3"/>
    <row r="1951" ht="13.5" customHeight="1" x14ac:dyDescent="0.3"/>
    <row r="1952" ht="13.5" customHeight="1" x14ac:dyDescent="0.3"/>
    <row r="1953" ht="13.5" customHeight="1" x14ac:dyDescent="0.3"/>
    <row r="1954" ht="13.5" customHeight="1" x14ac:dyDescent="0.3"/>
    <row r="1955" ht="13.5" customHeight="1" x14ac:dyDescent="0.3"/>
    <row r="1956" ht="13.5" customHeight="1" x14ac:dyDescent="0.3"/>
    <row r="1957" ht="13.5" customHeight="1" x14ac:dyDescent="0.3"/>
    <row r="1958" ht="13.5" customHeight="1" x14ac:dyDescent="0.3"/>
    <row r="1959" ht="13.5" customHeight="1" x14ac:dyDescent="0.3"/>
    <row r="1960" ht="13.5" customHeight="1" x14ac:dyDescent="0.3"/>
    <row r="1961" ht="13.5" customHeight="1" x14ac:dyDescent="0.3"/>
    <row r="1962" ht="13.5" customHeight="1" x14ac:dyDescent="0.3"/>
    <row r="1963" ht="13.5" customHeight="1" x14ac:dyDescent="0.3"/>
    <row r="1964" ht="13.5" customHeight="1" x14ac:dyDescent="0.3"/>
    <row r="1965" ht="13.5" customHeight="1" x14ac:dyDescent="0.3"/>
    <row r="1966" ht="13.5" customHeight="1" x14ac:dyDescent="0.3"/>
    <row r="1967" ht="13.5" customHeight="1" x14ac:dyDescent="0.3"/>
    <row r="1968" ht="13.5" customHeight="1" x14ac:dyDescent="0.3"/>
    <row r="1969" ht="13.5" customHeight="1" x14ac:dyDescent="0.3"/>
    <row r="1970" ht="13.5" customHeight="1" x14ac:dyDescent="0.3"/>
    <row r="1971" ht="13.5" customHeight="1" x14ac:dyDescent="0.3"/>
    <row r="1972" ht="13.5" customHeight="1" x14ac:dyDescent="0.3"/>
    <row r="1973" ht="13.5" customHeight="1" x14ac:dyDescent="0.3"/>
    <row r="1974" ht="13.5" customHeight="1" x14ac:dyDescent="0.3"/>
    <row r="1975" ht="13.5" customHeight="1" x14ac:dyDescent="0.3"/>
    <row r="1976" ht="13.5" customHeight="1" x14ac:dyDescent="0.3"/>
    <row r="1977" ht="13.5" customHeight="1" x14ac:dyDescent="0.3"/>
    <row r="1978" ht="13.5" customHeight="1" x14ac:dyDescent="0.3"/>
    <row r="1979" ht="13.5" customHeight="1" x14ac:dyDescent="0.3"/>
    <row r="1980" ht="13.5" customHeight="1" x14ac:dyDescent="0.3"/>
    <row r="1981" ht="13.5" customHeight="1" x14ac:dyDescent="0.3"/>
    <row r="1982" ht="13.5" customHeight="1" x14ac:dyDescent="0.3"/>
    <row r="1983" ht="13.5" customHeight="1" x14ac:dyDescent="0.3"/>
    <row r="1984" ht="13.5" customHeight="1" x14ac:dyDescent="0.3"/>
    <row r="1985" ht="13.5" customHeight="1" x14ac:dyDescent="0.3"/>
    <row r="1986" ht="13.5" customHeight="1" x14ac:dyDescent="0.3"/>
    <row r="1987" ht="13.5" customHeight="1" x14ac:dyDescent="0.3"/>
    <row r="1988" ht="13.5" customHeight="1" x14ac:dyDescent="0.3"/>
    <row r="1989" ht="13.5" customHeight="1" x14ac:dyDescent="0.3"/>
    <row r="1990" ht="13.5" customHeight="1" x14ac:dyDescent="0.3"/>
    <row r="1991" ht="13.5" customHeight="1" x14ac:dyDescent="0.3"/>
    <row r="1992" ht="13.5" customHeight="1" x14ac:dyDescent="0.3"/>
    <row r="1993" ht="13.5" customHeight="1" x14ac:dyDescent="0.3"/>
    <row r="1994" ht="13.5" customHeight="1" x14ac:dyDescent="0.3"/>
    <row r="1995" ht="13.5" customHeight="1" x14ac:dyDescent="0.3"/>
    <row r="1996" ht="13.5" customHeight="1" x14ac:dyDescent="0.3"/>
    <row r="1997" ht="13.5" customHeight="1" x14ac:dyDescent="0.3"/>
    <row r="1998" ht="13.5" customHeight="1" x14ac:dyDescent="0.3"/>
    <row r="1999" ht="13.5" customHeight="1" x14ac:dyDescent="0.3"/>
    <row r="2000" ht="13.5" customHeight="1" x14ac:dyDescent="0.3"/>
    <row r="2001" ht="13.5" customHeight="1" x14ac:dyDescent="0.3"/>
    <row r="2002" ht="13.5" customHeight="1" x14ac:dyDescent="0.3"/>
    <row r="2003" ht="13.5" customHeight="1" x14ac:dyDescent="0.3"/>
    <row r="2004" ht="13.5" customHeight="1" x14ac:dyDescent="0.3"/>
    <row r="2005" ht="13.5" customHeight="1" x14ac:dyDescent="0.3"/>
    <row r="2006" ht="13.5" customHeight="1" x14ac:dyDescent="0.3"/>
    <row r="2007" ht="13.5" customHeight="1" x14ac:dyDescent="0.3"/>
    <row r="2008" ht="13.5" customHeight="1" x14ac:dyDescent="0.3"/>
    <row r="2009" ht="13.5" customHeight="1" x14ac:dyDescent="0.3"/>
    <row r="2010" ht="13.5" customHeight="1" x14ac:dyDescent="0.3"/>
    <row r="2011" ht="13.5" customHeight="1" x14ac:dyDescent="0.3"/>
    <row r="2012" ht="13.5" customHeight="1" x14ac:dyDescent="0.3"/>
    <row r="2013" ht="13.5" customHeight="1" x14ac:dyDescent="0.3"/>
    <row r="2014" ht="13.5" customHeight="1" x14ac:dyDescent="0.3"/>
    <row r="2015" ht="13.5" customHeight="1" x14ac:dyDescent="0.3"/>
    <row r="2016" ht="13.5" customHeight="1" x14ac:dyDescent="0.3"/>
    <row r="2017" ht="13.5" customHeight="1" x14ac:dyDescent="0.3"/>
    <row r="2018" ht="13.5" customHeight="1" x14ac:dyDescent="0.3"/>
    <row r="2019" ht="13.5" customHeight="1" x14ac:dyDescent="0.3"/>
    <row r="2020" ht="13.5" customHeight="1" x14ac:dyDescent="0.3"/>
    <row r="2021" ht="13.5" customHeight="1" x14ac:dyDescent="0.3"/>
    <row r="2022" ht="13.5" customHeight="1" x14ac:dyDescent="0.3"/>
    <row r="2023" ht="13.5" customHeight="1" x14ac:dyDescent="0.3"/>
    <row r="2024" ht="13.5" customHeight="1" x14ac:dyDescent="0.3"/>
    <row r="2025" ht="13.5" customHeight="1" x14ac:dyDescent="0.3"/>
    <row r="2026" ht="13.5" customHeight="1" x14ac:dyDescent="0.3"/>
    <row r="2027" ht="13.5" customHeight="1" x14ac:dyDescent="0.3"/>
    <row r="2028" ht="13.5" customHeight="1" x14ac:dyDescent="0.3"/>
    <row r="2029" ht="13.5" customHeight="1" x14ac:dyDescent="0.3"/>
    <row r="2030" ht="13.5" customHeight="1" x14ac:dyDescent="0.3"/>
    <row r="2031" ht="13.5" customHeight="1" x14ac:dyDescent="0.3"/>
    <row r="2032" ht="13.5" customHeight="1" x14ac:dyDescent="0.3"/>
    <row r="2033" ht="13.5" customHeight="1" x14ac:dyDescent="0.3"/>
    <row r="2034" ht="13.5" customHeight="1" x14ac:dyDescent="0.3"/>
    <row r="2035" ht="13.5" customHeight="1" x14ac:dyDescent="0.3"/>
    <row r="2036" ht="13.5" customHeight="1" x14ac:dyDescent="0.3"/>
    <row r="2037" ht="13.5" customHeight="1" x14ac:dyDescent="0.3"/>
    <row r="2038" ht="13.5" customHeight="1" x14ac:dyDescent="0.3"/>
    <row r="2039" ht="13.5" customHeight="1" x14ac:dyDescent="0.3"/>
    <row r="2040" ht="13.5" customHeight="1" x14ac:dyDescent="0.3"/>
    <row r="2041" ht="13.5" customHeight="1" x14ac:dyDescent="0.3"/>
    <row r="2042" ht="13.5" customHeight="1" x14ac:dyDescent="0.3"/>
    <row r="2043" ht="13.5" customHeight="1" x14ac:dyDescent="0.3"/>
    <row r="2044" ht="13.5" customHeight="1" x14ac:dyDescent="0.3"/>
    <row r="2045" ht="13.5" customHeight="1" x14ac:dyDescent="0.3"/>
    <row r="2046" ht="13.5" customHeight="1" x14ac:dyDescent="0.3"/>
    <row r="2047" ht="13.5" customHeight="1" x14ac:dyDescent="0.3"/>
    <row r="2048" ht="13.5" customHeight="1" x14ac:dyDescent="0.3"/>
    <row r="2049" ht="13.5" customHeight="1" x14ac:dyDescent="0.3"/>
    <row r="2050" ht="13.5" customHeight="1" x14ac:dyDescent="0.3"/>
    <row r="2051" ht="13.5" customHeight="1" x14ac:dyDescent="0.3"/>
    <row r="2052" ht="13.5" customHeight="1" x14ac:dyDescent="0.3"/>
    <row r="2053" ht="13.5" customHeight="1" x14ac:dyDescent="0.3"/>
    <row r="2054" ht="13.5" customHeight="1" x14ac:dyDescent="0.3"/>
    <row r="2055" ht="13.5" customHeight="1" x14ac:dyDescent="0.3"/>
    <row r="2056" ht="13.5" customHeight="1" x14ac:dyDescent="0.3"/>
    <row r="2057" ht="13.5" customHeight="1" x14ac:dyDescent="0.3"/>
    <row r="2058" ht="13.5" customHeight="1" x14ac:dyDescent="0.3"/>
    <row r="2059" ht="13.5" customHeight="1" x14ac:dyDescent="0.3"/>
    <row r="2060" ht="13.5" customHeight="1" x14ac:dyDescent="0.3"/>
    <row r="2061" ht="13.5" customHeight="1" x14ac:dyDescent="0.3"/>
    <row r="2062" ht="13.5" customHeight="1" x14ac:dyDescent="0.3"/>
    <row r="2063" ht="13.5" customHeight="1" x14ac:dyDescent="0.3"/>
    <row r="2064" ht="13.5" customHeight="1" x14ac:dyDescent="0.3"/>
    <row r="2065" ht="13.5" customHeight="1" x14ac:dyDescent="0.3"/>
    <row r="2066" ht="13.5" customHeight="1" x14ac:dyDescent="0.3"/>
    <row r="2067" ht="13.5" customHeight="1" x14ac:dyDescent="0.3"/>
    <row r="2068" ht="13.5" customHeight="1" x14ac:dyDescent="0.3"/>
    <row r="2069" ht="13.5" customHeight="1" x14ac:dyDescent="0.3"/>
    <row r="2070" ht="13.5" customHeight="1" x14ac:dyDescent="0.3"/>
    <row r="2071" ht="13.5" customHeight="1" x14ac:dyDescent="0.3"/>
    <row r="2072" ht="13.5" customHeight="1" x14ac:dyDescent="0.3"/>
    <row r="2073" ht="13.5" customHeight="1" x14ac:dyDescent="0.3"/>
    <row r="2074" ht="13.5" customHeight="1" x14ac:dyDescent="0.3"/>
    <row r="2075" ht="13.5" customHeight="1" x14ac:dyDescent="0.3"/>
    <row r="2076" ht="13.5" customHeight="1" x14ac:dyDescent="0.3"/>
    <row r="2077" ht="13.5" customHeight="1" x14ac:dyDescent="0.3"/>
    <row r="2078" ht="13.5" customHeight="1" x14ac:dyDescent="0.3"/>
    <row r="2079" ht="13.5" customHeight="1" x14ac:dyDescent="0.3"/>
    <row r="2080" ht="13.5" customHeight="1" x14ac:dyDescent="0.3"/>
    <row r="2081" ht="13.5" customHeight="1" x14ac:dyDescent="0.3"/>
    <row r="2082" ht="13.5" customHeight="1" x14ac:dyDescent="0.3"/>
    <row r="2083" ht="13.5" customHeight="1" x14ac:dyDescent="0.3"/>
    <row r="2084" ht="13.5" customHeight="1" x14ac:dyDescent="0.3"/>
    <row r="2085" ht="13.5" customHeight="1" x14ac:dyDescent="0.3"/>
    <row r="2086" ht="13.5" customHeight="1" x14ac:dyDescent="0.3"/>
    <row r="2087" ht="13.5" customHeight="1" x14ac:dyDescent="0.3"/>
    <row r="2088" ht="13.5" customHeight="1" x14ac:dyDescent="0.3"/>
    <row r="2089" ht="13.5" customHeight="1" x14ac:dyDescent="0.3"/>
    <row r="2090" ht="13.5" customHeight="1" x14ac:dyDescent="0.3"/>
    <row r="2091" ht="13.5" customHeight="1" x14ac:dyDescent="0.3"/>
    <row r="2092" ht="13.5" customHeight="1" x14ac:dyDescent="0.3"/>
    <row r="2093" ht="13.5" customHeight="1" x14ac:dyDescent="0.3"/>
    <row r="2094" ht="13.5" customHeight="1" x14ac:dyDescent="0.3"/>
    <row r="2095" ht="13.5" customHeight="1" x14ac:dyDescent="0.3"/>
    <row r="2096" ht="13.5" customHeight="1" x14ac:dyDescent="0.3"/>
    <row r="2097" ht="13.5" customHeight="1" x14ac:dyDescent="0.3"/>
    <row r="2098" ht="13.5" customHeight="1" x14ac:dyDescent="0.3"/>
    <row r="2099" ht="13.5" customHeight="1" x14ac:dyDescent="0.3"/>
    <row r="2100" ht="13.5" customHeight="1" x14ac:dyDescent="0.3"/>
    <row r="2101" ht="13.5" customHeight="1" x14ac:dyDescent="0.3"/>
    <row r="2102" ht="13.5" customHeight="1" x14ac:dyDescent="0.3"/>
    <row r="2103" ht="13.5" customHeight="1" x14ac:dyDescent="0.3"/>
    <row r="2104" ht="13.5" customHeight="1" x14ac:dyDescent="0.3"/>
    <row r="2105" ht="13.5" customHeight="1" x14ac:dyDescent="0.3"/>
    <row r="2106" ht="13.5" customHeight="1" x14ac:dyDescent="0.3"/>
    <row r="2107" ht="13.5" customHeight="1" x14ac:dyDescent="0.3"/>
    <row r="2108" ht="13.5" customHeight="1" x14ac:dyDescent="0.3"/>
    <row r="2109" ht="13.5" customHeight="1" x14ac:dyDescent="0.3"/>
    <row r="2110" ht="13.5" customHeight="1" x14ac:dyDescent="0.3"/>
    <row r="2111" ht="13.5" customHeight="1" x14ac:dyDescent="0.3"/>
    <row r="2112" ht="13.5" customHeight="1" x14ac:dyDescent="0.3"/>
    <row r="2113" ht="13.5" customHeight="1" x14ac:dyDescent="0.3"/>
    <row r="2114" ht="13.5" customHeight="1" x14ac:dyDescent="0.3"/>
    <row r="2115" ht="13.5" customHeight="1" x14ac:dyDescent="0.3"/>
    <row r="2116" ht="13.5" customHeight="1" x14ac:dyDescent="0.3"/>
    <row r="2117" ht="13.5" customHeight="1" x14ac:dyDescent="0.3"/>
    <row r="2118" ht="13.5" customHeight="1" x14ac:dyDescent="0.3"/>
    <row r="2119" ht="13.5" customHeight="1" x14ac:dyDescent="0.3"/>
    <row r="2120" ht="13.5" customHeight="1" x14ac:dyDescent="0.3"/>
    <row r="2121" ht="13.5" customHeight="1" x14ac:dyDescent="0.3"/>
    <row r="2122" ht="13.5" customHeight="1" x14ac:dyDescent="0.3"/>
    <row r="2123" ht="13.5" customHeight="1" x14ac:dyDescent="0.3"/>
    <row r="2124" ht="13.5" customHeight="1" x14ac:dyDescent="0.3"/>
    <row r="2125" ht="13.5" customHeight="1" x14ac:dyDescent="0.3"/>
    <row r="2126" ht="13.5" customHeight="1" x14ac:dyDescent="0.3"/>
    <row r="2127" ht="13.5" customHeight="1" x14ac:dyDescent="0.3"/>
    <row r="2128" ht="13.5" customHeight="1" x14ac:dyDescent="0.3"/>
    <row r="2129" ht="13.5" customHeight="1" x14ac:dyDescent="0.3"/>
    <row r="2130" ht="13.5" customHeight="1" x14ac:dyDescent="0.3"/>
    <row r="2131" ht="13.5" customHeight="1" x14ac:dyDescent="0.3"/>
    <row r="2132" ht="13.5" customHeight="1" x14ac:dyDescent="0.3"/>
    <row r="2133" ht="13.5" customHeight="1" x14ac:dyDescent="0.3"/>
    <row r="2134" ht="13.5" customHeight="1" x14ac:dyDescent="0.3"/>
    <row r="2135" ht="13.5" customHeight="1" x14ac:dyDescent="0.3"/>
    <row r="2136" ht="13.5" customHeight="1" x14ac:dyDescent="0.3"/>
    <row r="2137" ht="13.5" customHeight="1" x14ac:dyDescent="0.3"/>
    <row r="2138" ht="13.5" customHeight="1" x14ac:dyDescent="0.3"/>
    <row r="2139" ht="13.5" customHeight="1" x14ac:dyDescent="0.3"/>
    <row r="2140" ht="13.5" customHeight="1" x14ac:dyDescent="0.3"/>
    <row r="2141" ht="13.5" customHeight="1" x14ac:dyDescent="0.3"/>
    <row r="2142" ht="13.5" customHeight="1" x14ac:dyDescent="0.3"/>
    <row r="2143" ht="13.5" customHeight="1" x14ac:dyDescent="0.3"/>
    <row r="2144" ht="13.5" customHeight="1" x14ac:dyDescent="0.3"/>
    <row r="2145" ht="13.5" customHeight="1" x14ac:dyDescent="0.3"/>
    <row r="2146" ht="13.5" customHeight="1" x14ac:dyDescent="0.3"/>
    <row r="2147" ht="13.5" customHeight="1" x14ac:dyDescent="0.3"/>
    <row r="2148" ht="13.5" customHeight="1" x14ac:dyDescent="0.3"/>
    <row r="2149" ht="13.5" customHeight="1" x14ac:dyDescent="0.3"/>
    <row r="2150" ht="13.5" customHeight="1" x14ac:dyDescent="0.3"/>
    <row r="2151" ht="13.5" customHeight="1" x14ac:dyDescent="0.3"/>
    <row r="2152" ht="13.5" customHeight="1" x14ac:dyDescent="0.3"/>
    <row r="2153" ht="13.5" customHeight="1" x14ac:dyDescent="0.3"/>
    <row r="2154" ht="13.5" customHeight="1" x14ac:dyDescent="0.3"/>
    <row r="2155" ht="13.5" customHeight="1" x14ac:dyDescent="0.3"/>
    <row r="2156" ht="13.5" customHeight="1" x14ac:dyDescent="0.3"/>
    <row r="2157" ht="13.5" customHeight="1" x14ac:dyDescent="0.3"/>
    <row r="2158" ht="13.5" customHeight="1" x14ac:dyDescent="0.3"/>
    <row r="2159" ht="13.5" customHeight="1" x14ac:dyDescent="0.3"/>
    <row r="2160" ht="13.5" customHeight="1" x14ac:dyDescent="0.3"/>
    <row r="2161" ht="13.5" customHeight="1" x14ac:dyDescent="0.3"/>
    <row r="2162" ht="13.5" customHeight="1" x14ac:dyDescent="0.3"/>
    <row r="2163" ht="13.5" customHeight="1" x14ac:dyDescent="0.3"/>
    <row r="2164" ht="13.5" customHeight="1" x14ac:dyDescent="0.3"/>
    <row r="2165" ht="13.5" customHeight="1" x14ac:dyDescent="0.3"/>
    <row r="2166" ht="13.5" customHeight="1" x14ac:dyDescent="0.3"/>
    <row r="2167" ht="13.5" customHeight="1" x14ac:dyDescent="0.3"/>
    <row r="2168" ht="13.5" customHeight="1" x14ac:dyDescent="0.3"/>
    <row r="2169" ht="13.5" customHeight="1" x14ac:dyDescent="0.3"/>
    <row r="2170" ht="13.5" customHeight="1" x14ac:dyDescent="0.3"/>
    <row r="2171" ht="13.5" customHeight="1" x14ac:dyDescent="0.3"/>
    <row r="2172" ht="13.5" customHeight="1" x14ac:dyDescent="0.3"/>
  </sheetData>
  <mergeCells count="76">
    <mergeCell ref="AJ55:AO55"/>
    <mergeCell ref="H56:BU56"/>
    <mergeCell ref="B53:N53"/>
    <mergeCell ref="BQ53:BR53"/>
    <mergeCell ref="B55:N55"/>
    <mergeCell ref="B54:N54"/>
    <mergeCell ref="V53:AB55"/>
    <mergeCell ref="BQ54:BR54"/>
    <mergeCell ref="BQ55:BR55"/>
    <mergeCell ref="BT55:BU55"/>
    <mergeCell ref="AQ53:AV53"/>
    <mergeCell ref="AJ53:AO53"/>
    <mergeCell ref="AJ54:AO54"/>
    <mergeCell ref="AQ54:AV54"/>
    <mergeCell ref="AQ55:AV55"/>
    <mergeCell ref="A5:BV5"/>
    <mergeCell ref="A1:BV1"/>
    <mergeCell ref="A2:BV2"/>
    <mergeCell ref="A3:BV3"/>
    <mergeCell ref="A4:BV4"/>
    <mergeCell ref="AJ50:AV50"/>
    <mergeCell ref="A38:BO39"/>
    <mergeCell ref="A41:BV41"/>
    <mergeCell ref="BQ50:BU52"/>
    <mergeCell ref="BK50:BP52"/>
    <mergeCell ref="B48:U52"/>
    <mergeCell ref="A29:AE29"/>
    <mergeCell ref="A30:AE30"/>
    <mergeCell ref="A31:AE31"/>
    <mergeCell ref="A28:AE28"/>
    <mergeCell ref="A26:AE27"/>
    <mergeCell ref="A6:BW7"/>
    <mergeCell ref="V64:AG64"/>
    <mergeCell ref="A12:BX12"/>
    <mergeCell ref="V48:BU49"/>
    <mergeCell ref="AC55:AI55"/>
    <mergeCell ref="BD55:BJ55"/>
    <mergeCell ref="AC53:AI53"/>
    <mergeCell ref="AW55:BC55"/>
    <mergeCell ref="AC54:AI54"/>
    <mergeCell ref="BK53:BP53"/>
    <mergeCell ref="BD54:BJ54"/>
    <mergeCell ref="AW54:BC54"/>
    <mergeCell ref="AF26:AO27"/>
    <mergeCell ref="AP26:AV27"/>
    <mergeCell ref="AF29:AO29"/>
    <mergeCell ref="AP29:AV29"/>
    <mergeCell ref="X67:AO67"/>
    <mergeCell ref="V50:AB52"/>
    <mergeCell ref="A61:BV62"/>
    <mergeCell ref="L33:BN33"/>
    <mergeCell ref="D37:BU37"/>
    <mergeCell ref="BD53:BJ53"/>
    <mergeCell ref="AW53:BC53"/>
    <mergeCell ref="BK55:BP55"/>
    <mergeCell ref="I65:O65"/>
    <mergeCell ref="B59:BT59"/>
    <mergeCell ref="BB64:BT64"/>
    <mergeCell ref="AJ51:AP52"/>
    <mergeCell ref="AQ51:AV52"/>
    <mergeCell ref="AC50:AI52"/>
    <mergeCell ref="BT53:BU53"/>
    <mergeCell ref="BT54:BU54"/>
    <mergeCell ref="AP31:AV31"/>
    <mergeCell ref="AF28:AO28"/>
    <mergeCell ref="AP28:AV28"/>
    <mergeCell ref="AF30:AO30"/>
    <mergeCell ref="AP30:AV30"/>
    <mergeCell ref="AF31:AO31"/>
    <mergeCell ref="AX28:BE28"/>
    <mergeCell ref="AX29:BE29"/>
    <mergeCell ref="AX30:BF30"/>
    <mergeCell ref="AX31:BW31"/>
    <mergeCell ref="BK54:BP54"/>
    <mergeCell ref="BD50:BJ52"/>
    <mergeCell ref="AW50:BC52"/>
  </mergeCells>
  <phoneticPr fontId="5" type="noConversion"/>
  <pageMargins left="0.59055118110236227" right="0.39370078740157483" top="0.59055118110236227" bottom="0.59055118110236227" header="0.31496062992125984" footer="0.31496062992125984"/>
  <pageSetup paperSize="9" orientation="portrait" r:id="rId1"/>
  <headerFooter differentOddEven="1">
    <oddFooter>&amp;RСтр. 1 из 2</oddFooter>
    <evenFooter>&amp;RСтр. 2 из 2</evenFooter>
  </headerFooter>
  <customProperties>
    <customPr name="LastActive" r:id="rId2"/>
  </customPropertie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1"/>
  <dimension ref="A1:X246"/>
  <sheetViews>
    <sheetView zoomScale="91" zoomScaleNormal="91" workbookViewId="0">
      <selection activeCell="B4" sqref="B4"/>
    </sheetView>
  </sheetViews>
  <sheetFormatPr defaultRowHeight="14.4" x14ac:dyDescent="0.3"/>
  <cols>
    <col min="1" max="1" width="45.33203125" customWidth="1"/>
    <col min="2" max="2" width="41.33203125" customWidth="1"/>
    <col min="3" max="3" width="18" customWidth="1"/>
    <col min="4" max="4" width="25.6640625" customWidth="1"/>
    <col min="5" max="5" width="24.109375" customWidth="1"/>
    <col min="6" max="6" width="20.6640625" customWidth="1"/>
    <col min="7" max="7" width="21.88671875" customWidth="1"/>
    <col min="8" max="8" width="29.6640625" customWidth="1"/>
    <col min="9" max="9" width="8.109375" customWidth="1"/>
    <col min="10" max="10" width="8.44140625" customWidth="1"/>
    <col min="11" max="11" width="18.44140625" customWidth="1"/>
    <col min="12" max="12" width="53.33203125" style="25" customWidth="1"/>
    <col min="13" max="19" width="9.109375" customWidth="1"/>
    <col min="20" max="21" width="11.5546875" style="6" customWidth="1"/>
    <col min="22" max="22" width="13.6640625" customWidth="1"/>
    <col min="23" max="23" width="9.109375" style="33" customWidth="1"/>
  </cols>
  <sheetData>
    <row r="1" spans="1:21" ht="18" x14ac:dyDescent="0.35">
      <c r="A1" s="9" t="s">
        <v>0</v>
      </c>
      <c r="B1" s="14" t="s">
        <v>66</v>
      </c>
      <c r="C1" s="13"/>
      <c r="F1" s="72" t="s">
        <v>52</v>
      </c>
      <c r="G1" s="73" t="s">
        <v>51</v>
      </c>
      <c r="H1" s="72"/>
    </row>
    <row r="2" spans="1:21" ht="17.25" customHeight="1" x14ac:dyDescent="0.35">
      <c r="A2" s="9" t="s">
        <v>12</v>
      </c>
      <c r="B2" s="31" t="s">
        <v>234</v>
      </c>
      <c r="C2" s="13"/>
      <c r="F2" s="73" t="s">
        <v>54</v>
      </c>
      <c r="G2" s="73" t="s">
        <v>53</v>
      </c>
      <c r="H2" s="72"/>
    </row>
    <row r="3" spans="1:21" s="60" customFormat="1" ht="17.25" customHeight="1" x14ac:dyDescent="0.35">
      <c r="A3" s="9" t="s">
        <v>68</v>
      </c>
      <c r="B3" s="15">
        <v>2013</v>
      </c>
      <c r="C3" s="13"/>
      <c r="F3" s="73"/>
      <c r="G3" s="73"/>
      <c r="H3" s="72"/>
      <c r="L3" s="25"/>
      <c r="T3" s="6"/>
      <c r="U3" s="6"/>
    </row>
    <row r="4" spans="1:21" ht="21.75" customHeight="1" x14ac:dyDescent="0.35">
      <c r="A4" s="9" t="s">
        <v>13</v>
      </c>
      <c r="B4" s="31" t="s">
        <v>235</v>
      </c>
      <c r="C4" s="13"/>
      <c r="F4" s="73" t="s">
        <v>56</v>
      </c>
      <c r="G4" s="73" t="s">
        <v>55</v>
      </c>
      <c r="H4" s="72" t="s">
        <v>57</v>
      </c>
    </row>
    <row r="5" spans="1:21" s="60" customFormat="1" ht="57.75" customHeight="1" x14ac:dyDescent="0.35">
      <c r="A5" s="78" t="s">
        <v>213</v>
      </c>
      <c r="B5" s="31" t="s">
        <v>231</v>
      </c>
      <c r="C5" s="13"/>
      <c r="F5" s="73"/>
      <c r="G5" s="73"/>
      <c r="H5" s="72"/>
      <c r="L5" s="25"/>
      <c r="T5" s="6"/>
      <c r="U5" s="6"/>
    </row>
    <row r="6" spans="1:21" s="60" customFormat="1" ht="21.75" customHeight="1" x14ac:dyDescent="0.35">
      <c r="A6" s="9" t="s">
        <v>87</v>
      </c>
      <c r="B6" s="31" t="s">
        <v>236</v>
      </c>
      <c r="C6" s="13"/>
      <c r="F6" s="73"/>
      <c r="G6" s="73"/>
      <c r="H6" s="72"/>
      <c r="L6" s="25"/>
      <c r="T6" s="6"/>
      <c r="U6" s="6"/>
    </row>
    <row r="7" spans="1:21" ht="20.25" customHeight="1" x14ac:dyDescent="0.35">
      <c r="A7" s="9" t="s">
        <v>40</v>
      </c>
      <c r="B7" s="31" t="s">
        <v>233</v>
      </c>
      <c r="C7" s="13"/>
      <c r="D7" s="13"/>
      <c r="E7" s="13"/>
      <c r="F7" s="72" t="s">
        <v>59</v>
      </c>
      <c r="G7" s="72" t="s">
        <v>58</v>
      </c>
      <c r="H7" s="72" t="s">
        <v>61</v>
      </c>
    </row>
    <row r="8" spans="1:21" ht="20.25" customHeight="1" x14ac:dyDescent="0.35">
      <c r="A8" s="9" t="s">
        <v>39</v>
      </c>
      <c r="B8" s="31" t="s">
        <v>237</v>
      </c>
      <c r="C8" s="13"/>
      <c r="D8" s="201" t="s">
        <v>41</v>
      </c>
      <c r="E8" s="201"/>
      <c r="F8" s="72" t="s">
        <v>60</v>
      </c>
      <c r="G8" s="72" t="s">
        <v>50</v>
      </c>
      <c r="H8" s="72" t="s">
        <v>62</v>
      </c>
    </row>
    <row r="9" spans="1:21" ht="18.75" customHeight="1" x14ac:dyDescent="0.35">
      <c r="A9" s="9" t="s">
        <v>27</v>
      </c>
      <c r="B9" s="67" t="s">
        <v>229</v>
      </c>
      <c r="C9" s="13" t="s">
        <v>230</v>
      </c>
      <c r="D9" s="201" t="s">
        <v>106</v>
      </c>
      <c r="E9" s="201"/>
      <c r="F9" s="72" t="s">
        <v>64</v>
      </c>
      <c r="G9" s="73" t="s">
        <v>65</v>
      </c>
      <c r="H9" s="72" t="s">
        <v>63</v>
      </c>
    </row>
    <row r="10" spans="1:21" ht="18" x14ac:dyDescent="0.35">
      <c r="A10" s="10" t="s">
        <v>14</v>
      </c>
      <c r="B10" s="32">
        <v>45946</v>
      </c>
      <c r="C10" s="13"/>
      <c r="D10" s="13"/>
      <c r="E10" s="13"/>
    </row>
    <row r="11" spans="1:21" ht="18" x14ac:dyDescent="0.35">
      <c r="A11" s="11" t="s">
        <v>15</v>
      </c>
      <c r="B11" s="76">
        <v>22.4</v>
      </c>
      <c r="C11" s="30" t="s">
        <v>38</v>
      </c>
      <c r="D11" s="27"/>
      <c r="E11" s="13"/>
    </row>
    <row r="12" spans="1:21" ht="18" x14ac:dyDescent="0.35">
      <c r="A12" s="11" t="s">
        <v>16</v>
      </c>
      <c r="B12" s="76">
        <v>60.1</v>
      </c>
      <c r="C12" s="30" t="s">
        <v>48</v>
      </c>
      <c r="D12" s="27"/>
      <c r="E12" s="13"/>
    </row>
    <row r="13" spans="1:21" ht="18" x14ac:dyDescent="0.35">
      <c r="A13" s="11" t="s">
        <v>80</v>
      </c>
      <c r="B13" s="76">
        <v>109.5</v>
      </c>
      <c r="C13" s="27" t="s">
        <v>49</v>
      </c>
      <c r="D13" s="27"/>
      <c r="E13" s="13"/>
    </row>
    <row r="14" spans="1:21" ht="18" x14ac:dyDescent="0.35">
      <c r="A14" s="11" t="s">
        <v>71</v>
      </c>
      <c r="B14" s="16">
        <v>5</v>
      </c>
      <c r="C14" s="30" t="s">
        <v>42</v>
      </c>
      <c r="D14" s="27"/>
      <c r="E14" s="13"/>
    </row>
    <row r="15" spans="1:21" s="60" customFormat="1" ht="18.600000000000001" thickBot="1" x14ac:dyDescent="0.4">
      <c r="A15" s="61" t="s">
        <v>70</v>
      </c>
      <c r="B15" s="64">
        <v>5</v>
      </c>
      <c r="C15" s="30"/>
      <c r="D15" s="27"/>
      <c r="E15" s="13"/>
      <c r="L15" s="25"/>
      <c r="T15" s="6"/>
      <c r="U15" s="6"/>
    </row>
    <row r="16" spans="1:21" ht="18.75" customHeight="1" x14ac:dyDescent="0.35">
      <c r="A16" s="17" t="s">
        <v>26</v>
      </c>
      <c r="B16" s="24"/>
      <c r="C16" s="13"/>
      <c r="D16" s="13"/>
      <c r="E16" s="13"/>
    </row>
    <row r="17" spans="1:24" ht="21" customHeight="1" x14ac:dyDescent="0.4">
      <c r="A17" s="18">
        <f ca="1">TODAY()</f>
        <v>45949</v>
      </c>
      <c r="B17" s="20"/>
      <c r="C17" s="13"/>
      <c r="D17" s="13"/>
      <c r="E17" s="13"/>
    </row>
    <row r="18" spans="1:24" ht="21" x14ac:dyDescent="0.4">
      <c r="B18" s="21"/>
      <c r="C18" s="202"/>
      <c r="D18" s="202"/>
      <c r="E18" s="202"/>
    </row>
    <row r="19" spans="1:24" ht="11.25" customHeight="1" x14ac:dyDescent="0.3">
      <c r="B19" s="19"/>
      <c r="C19" s="12"/>
      <c r="D19" s="12"/>
      <c r="E19" s="12"/>
    </row>
    <row r="20" spans="1:24" ht="22.5" customHeight="1" x14ac:dyDescent="0.3">
      <c r="B20" s="19"/>
      <c r="C20" s="12"/>
      <c r="D20" s="12"/>
      <c r="E20" s="12"/>
    </row>
    <row r="21" spans="1:24" ht="15" customHeight="1" thickBot="1" x14ac:dyDescent="0.45">
      <c r="B21" s="22"/>
      <c r="C21" s="12"/>
      <c r="D21" s="12"/>
      <c r="E21" s="12"/>
    </row>
    <row r="22" spans="1:24" x14ac:dyDescent="0.3">
      <c r="A22" s="2"/>
      <c r="B22" s="2"/>
    </row>
    <row r="23" spans="1:24" ht="29.25" customHeight="1" x14ac:dyDescent="0.4">
      <c r="A23" s="2"/>
      <c r="B23" s="23"/>
    </row>
    <row r="30" spans="1:24" x14ac:dyDescent="0.3">
      <c r="W30" s="51"/>
      <c r="X30" s="2"/>
    </row>
    <row r="31" spans="1:24" ht="45" customHeight="1" x14ac:dyDescent="0.3">
      <c r="W31" s="51"/>
      <c r="X31" s="7"/>
    </row>
    <row r="32" spans="1:24" x14ac:dyDescent="0.3">
      <c r="C32" s="4"/>
      <c r="W32" s="51"/>
      <c r="X32" s="7"/>
    </row>
    <row r="33" spans="23:24" x14ac:dyDescent="0.3">
      <c r="W33" s="53"/>
      <c r="X33" s="2"/>
    </row>
    <row r="34" spans="23:24" x14ac:dyDescent="0.3">
      <c r="W34" s="53"/>
      <c r="X34" s="7"/>
    </row>
    <row r="35" spans="23:24" x14ac:dyDescent="0.3">
      <c r="W35" s="45"/>
      <c r="X35" s="7"/>
    </row>
    <row r="36" spans="23:24" x14ac:dyDescent="0.3">
      <c r="W36" s="51"/>
      <c r="X36" s="7"/>
    </row>
    <row r="37" spans="23:24" x14ac:dyDescent="0.3">
      <c r="W37" s="51"/>
      <c r="X37" s="2"/>
    </row>
    <row r="38" spans="23:24" x14ac:dyDescent="0.3">
      <c r="W38" s="51"/>
      <c r="X38" s="7"/>
    </row>
    <row r="39" spans="23:24" x14ac:dyDescent="0.3">
      <c r="W39" s="44"/>
      <c r="X39" s="7"/>
    </row>
    <row r="40" spans="23:24" x14ac:dyDescent="0.3">
      <c r="W40" s="44"/>
      <c r="X40" s="7"/>
    </row>
    <row r="41" spans="23:24" x14ac:dyDescent="0.3">
      <c r="W41" s="45"/>
      <c r="X41" s="7"/>
    </row>
    <row r="42" spans="23:24" x14ac:dyDescent="0.3">
      <c r="W42" s="45"/>
      <c r="X42" s="7"/>
    </row>
    <row r="43" spans="23:24" x14ac:dyDescent="0.3">
      <c r="W43" s="51"/>
      <c r="X43" s="7"/>
    </row>
    <row r="44" spans="23:24" x14ac:dyDescent="0.3">
      <c r="W44" s="51"/>
      <c r="X44" s="7"/>
    </row>
    <row r="45" spans="23:24" x14ac:dyDescent="0.3">
      <c r="W45" s="51"/>
      <c r="X45" s="7"/>
    </row>
    <row r="46" spans="23:24" x14ac:dyDescent="0.3">
      <c r="W46" s="51"/>
      <c r="X46" s="7"/>
    </row>
    <row r="47" spans="23:24" x14ac:dyDescent="0.3">
      <c r="W47" s="45"/>
      <c r="X47" s="7"/>
    </row>
    <row r="48" spans="23:24" x14ac:dyDescent="0.3">
      <c r="W48" s="53"/>
      <c r="X48" s="7"/>
    </row>
    <row r="49" spans="11:24" x14ac:dyDescent="0.3">
      <c r="W49" s="53"/>
      <c r="X49" s="7"/>
    </row>
    <row r="50" spans="11:24" x14ac:dyDescent="0.3">
      <c r="W50" s="44"/>
      <c r="X50" s="7"/>
    </row>
    <row r="51" spans="11:24" x14ac:dyDescent="0.3">
      <c r="K51">
        <v>1</v>
      </c>
      <c r="L51" s="33">
        <v>2</v>
      </c>
      <c r="M51" s="33">
        <v>3</v>
      </c>
      <c r="N51" s="33">
        <v>4</v>
      </c>
      <c r="O51" s="33">
        <v>5</v>
      </c>
      <c r="P51" s="33">
        <v>6</v>
      </c>
      <c r="Q51" s="33">
        <v>7</v>
      </c>
      <c r="R51" s="33">
        <v>8</v>
      </c>
      <c r="S51" s="33">
        <v>9</v>
      </c>
      <c r="T51" s="33">
        <v>10</v>
      </c>
      <c r="U51" s="33">
        <v>11</v>
      </c>
      <c r="V51" s="33">
        <v>12</v>
      </c>
      <c r="W51" s="33">
        <v>13</v>
      </c>
      <c r="X51" s="7"/>
    </row>
    <row r="52" spans="11:24" x14ac:dyDescent="0.3">
      <c r="K52" s="59">
        <f>MATCH(B1,K54:K99,0)</f>
        <v>1</v>
      </c>
      <c r="L52" s="26">
        <v>42176</v>
      </c>
      <c r="W52" s="52"/>
      <c r="X52" s="7"/>
    </row>
    <row r="53" spans="11:24" s="60" customFormat="1" x14ac:dyDescent="0.3">
      <c r="K53" s="46" t="s">
        <v>22</v>
      </c>
      <c r="L53" s="47" t="s">
        <v>23</v>
      </c>
      <c r="M53" s="48" t="s">
        <v>17</v>
      </c>
      <c r="N53" s="48" t="s">
        <v>24</v>
      </c>
      <c r="O53" s="48" t="s">
        <v>25</v>
      </c>
      <c r="P53" s="48" t="s">
        <v>18</v>
      </c>
      <c r="Q53" s="48" t="s">
        <v>19</v>
      </c>
      <c r="R53" s="48" t="s">
        <v>20</v>
      </c>
      <c r="S53" s="48" t="s">
        <v>21</v>
      </c>
      <c r="T53" s="49" t="s">
        <v>43</v>
      </c>
      <c r="U53" s="49" t="s">
        <v>44</v>
      </c>
      <c r="V53" s="50" t="s">
        <v>45</v>
      </c>
      <c r="W53" s="54" t="s">
        <v>46</v>
      </c>
      <c r="X53" s="7"/>
    </row>
    <row r="54" spans="11:24" s="60" customFormat="1" x14ac:dyDescent="0.3">
      <c r="K54" s="55" t="s">
        <v>66</v>
      </c>
      <c r="L54" s="69" t="s">
        <v>165</v>
      </c>
      <c r="M54" s="28">
        <v>0.03</v>
      </c>
      <c r="N54" s="28">
        <v>0.15</v>
      </c>
      <c r="O54" s="28">
        <v>0.12</v>
      </c>
      <c r="P54" s="28">
        <v>1.5</v>
      </c>
      <c r="Q54" s="28">
        <v>3</v>
      </c>
      <c r="R54" s="28">
        <v>5</v>
      </c>
      <c r="S54" s="28">
        <v>2</v>
      </c>
      <c r="T54" s="29" t="s">
        <v>34</v>
      </c>
      <c r="U54" s="29" t="s">
        <v>35</v>
      </c>
      <c r="V54" s="29" t="s">
        <v>67</v>
      </c>
      <c r="W54" s="55" t="s">
        <v>36</v>
      </c>
      <c r="X54" s="7"/>
    </row>
    <row r="55" spans="11:24" s="60" customFormat="1" x14ac:dyDescent="0.3">
      <c r="K55" s="55" t="s">
        <v>47</v>
      </c>
      <c r="L55" s="69" t="s">
        <v>165</v>
      </c>
      <c r="M55" s="28">
        <v>0.03</v>
      </c>
      <c r="N55" s="28">
        <v>0.15</v>
      </c>
      <c r="O55" s="28">
        <v>0.12</v>
      </c>
      <c r="P55" s="28">
        <v>1.5</v>
      </c>
      <c r="Q55" s="28">
        <v>3</v>
      </c>
      <c r="R55" s="28">
        <v>5</v>
      </c>
      <c r="S55" s="28">
        <v>2</v>
      </c>
      <c r="T55" s="29" t="s">
        <v>34</v>
      </c>
      <c r="U55" s="29" t="s">
        <v>35</v>
      </c>
      <c r="V55" s="29" t="s">
        <v>37</v>
      </c>
      <c r="W55" s="55" t="s">
        <v>36</v>
      </c>
      <c r="X55" s="7"/>
    </row>
    <row r="56" spans="11:24" s="60" customFormat="1" x14ac:dyDescent="0.3">
      <c r="K56" s="55" t="s">
        <v>189</v>
      </c>
      <c r="L56" s="69" t="s">
        <v>165</v>
      </c>
      <c r="M56" s="28">
        <v>0.03</v>
      </c>
      <c r="N56" s="28">
        <v>0.15</v>
      </c>
      <c r="O56" s="28">
        <v>0.12</v>
      </c>
      <c r="P56" s="28">
        <v>1.5</v>
      </c>
      <c r="Q56" s="28">
        <v>3</v>
      </c>
      <c r="R56" s="28">
        <v>5</v>
      </c>
      <c r="S56" s="28">
        <v>2</v>
      </c>
      <c r="T56" s="29" t="s">
        <v>34</v>
      </c>
      <c r="U56" s="29" t="s">
        <v>35</v>
      </c>
      <c r="V56" s="29" t="s">
        <v>190</v>
      </c>
      <c r="W56" s="55" t="s">
        <v>36</v>
      </c>
      <c r="X56" s="7"/>
    </row>
    <row r="57" spans="11:24" s="60" customFormat="1" x14ac:dyDescent="0.3">
      <c r="K57" s="68" t="s">
        <v>104</v>
      </c>
      <c r="L57" s="69" t="s">
        <v>165</v>
      </c>
      <c r="M57" s="70">
        <v>0.03</v>
      </c>
      <c r="N57" s="70">
        <v>0.15</v>
      </c>
      <c r="O57" s="70">
        <v>0.12</v>
      </c>
      <c r="P57" s="70">
        <v>1.5</v>
      </c>
      <c r="Q57" s="70">
        <v>3</v>
      </c>
      <c r="R57" s="70">
        <v>5</v>
      </c>
      <c r="S57" s="70">
        <v>2</v>
      </c>
      <c r="T57" s="71" t="s">
        <v>34</v>
      </c>
      <c r="U57" s="71" t="s">
        <v>35</v>
      </c>
      <c r="V57" s="71" t="s">
        <v>67</v>
      </c>
      <c r="W57" s="68" t="s">
        <v>105</v>
      </c>
      <c r="X57" s="7"/>
    </row>
    <row r="58" spans="11:24" s="60" customFormat="1" x14ac:dyDescent="0.3">
      <c r="K58" s="68" t="s">
        <v>107</v>
      </c>
      <c r="L58" s="69" t="s">
        <v>165</v>
      </c>
      <c r="M58" s="70">
        <v>0.03</v>
      </c>
      <c r="N58" s="70">
        <v>0.15</v>
      </c>
      <c r="O58" s="70">
        <v>0.12</v>
      </c>
      <c r="P58" s="70">
        <v>1.5</v>
      </c>
      <c r="Q58" s="70">
        <v>3</v>
      </c>
      <c r="R58" s="70">
        <v>5</v>
      </c>
      <c r="S58" s="70">
        <v>2</v>
      </c>
      <c r="T58" s="71" t="s">
        <v>34</v>
      </c>
      <c r="U58" s="71" t="s">
        <v>35</v>
      </c>
      <c r="V58" s="71" t="s">
        <v>37</v>
      </c>
      <c r="W58" s="68" t="s">
        <v>105</v>
      </c>
      <c r="X58" s="7"/>
    </row>
    <row r="59" spans="11:24" s="60" customFormat="1" x14ac:dyDescent="0.3">
      <c r="K59" s="68" t="s">
        <v>228</v>
      </c>
      <c r="L59" s="69" t="s">
        <v>165</v>
      </c>
      <c r="M59" s="70">
        <v>0.03</v>
      </c>
      <c r="N59" s="70">
        <v>0.15</v>
      </c>
      <c r="O59" s="70">
        <v>0.12</v>
      </c>
      <c r="P59" s="70">
        <v>1.5</v>
      </c>
      <c r="Q59" s="70">
        <v>3</v>
      </c>
      <c r="R59" s="70">
        <v>5</v>
      </c>
      <c r="S59" s="70">
        <v>2</v>
      </c>
      <c r="T59" s="71" t="s">
        <v>34</v>
      </c>
      <c r="U59" s="71" t="s">
        <v>35</v>
      </c>
      <c r="V59" s="71" t="s">
        <v>190</v>
      </c>
      <c r="W59" s="68" t="s">
        <v>105</v>
      </c>
      <c r="X59" s="7"/>
    </row>
    <row r="60" spans="11:24" s="60" customFormat="1" x14ac:dyDescent="0.3">
      <c r="K60" s="68" t="s">
        <v>191</v>
      </c>
      <c r="L60" s="69" t="s">
        <v>165</v>
      </c>
      <c r="M60" s="70">
        <v>0.03</v>
      </c>
      <c r="N60" s="70">
        <v>0.15</v>
      </c>
      <c r="O60" s="70">
        <v>0.12</v>
      </c>
      <c r="P60" s="70">
        <v>1.5</v>
      </c>
      <c r="Q60" s="70">
        <v>3</v>
      </c>
      <c r="R60" s="70">
        <v>5</v>
      </c>
      <c r="S60" s="70">
        <v>2</v>
      </c>
      <c r="T60" s="71" t="s">
        <v>34</v>
      </c>
      <c r="U60" s="71" t="s">
        <v>35</v>
      </c>
      <c r="V60" s="71" t="s">
        <v>192</v>
      </c>
      <c r="W60" s="68" t="s">
        <v>193</v>
      </c>
      <c r="X60" s="7"/>
    </row>
    <row r="61" spans="11:24" s="60" customFormat="1" x14ac:dyDescent="0.3">
      <c r="K61" s="55" t="s">
        <v>232</v>
      </c>
      <c r="L61" s="69" t="s">
        <v>165</v>
      </c>
      <c r="M61" s="28">
        <v>0.05</v>
      </c>
      <c r="N61" s="28">
        <v>0.25</v>
      </c>
      <c r="O61" s="28">
        <v>0.2</v>
      </c>
      <c r="P61" s="28">
        <v>2.5</v>
      </c>
      <c r="Q61" s="28">
        <v>5</v>
      </c>
      <c r="R61" s="28">
        <v>5</v>
      </c>
      <c r="S61" s="28">
        <v>2</v>
      </c>
      <c r="T61" s="29" t="s">
        <v>34</v>
      </c>
      <c r="U61" s="29" t="s">
        <v>35</v>
      </c>
      <c r="V61" s="29" t="s">
        <v>67</v>
      </c>
      <c r="W61" s="55" t="s">
        <v>227</v>
      </c>
      <c r="X61" s="7"/>
    </row>
    <row r="62" spans="11:24" s="60" customFormat="1" x14ac:dyDescent="0.3">
      <c r="K62" s="55" t="s">
        <v>226</v>
      </c>
      <c r="L62" s="69" t="s">
        <v>165</v>
      </c>
      <c r="M62" s="28">
        <v>0.05</v>
      </c>
      <c r="N62" s="28">
        <v>0.25</v>
      </c>
      <c r="O62" s="28">
        <v>0.2</v>
      </c>
      <c r="P62" s="28">
        <v>2.5</v>
      </c>
      <c r="Q62" s="28">
        <v>5</v>
      </c>
      <c r="R62" s="28">
        <v>5</v>
      </c>
      <c r="S62" s="28">
        <v>2</v>
      </c>
      <c r="T62" s="29" t="s">
        <v>34</v>
      </c>
      <c r="U62" s="29" t="s">
        <v>35</v>
      </c>
      <c r="V62" s="29" t="s">
        <v>37</v>
      </c>
      <c r="W62" s="55" t="s">
        <v>227</v>
      </c>
      <c r="X62" s="7"/>
    </row>
    <row r="63" spans="11:24" s="60" customFormat="1" x14ac:dyDescent="0.3">
      <c r="K63" s="55" t="s">
        <v>173</v>
      </c>
      <c r="L63" s="69" t="s">
        <v>165</v>
      </c>
      <c r="M63" s="28">
        <v>0.03</v>
      </c>
      <c r="N63" s="28">
        <v>0.15</v>
      </c>
      <c r="O63" s="28">
        <v>0.12</v>
      </c>
      <c r="P63" s="28">
        <v>1.5</v>
      </c>
      <c r="Q63" s="28">
        <v>3</v>
      </c>
      <c r="R63" s="28">
        <v>5</v>
      </c>
      <c r="S63" s="28">
        <v>2</v>
      </c>
      <c r="T63" s="29" t="s">
        <v>34</v>
      </c>
      <c r="U63" s="29" t="s">
        <v>35</v>
      </c>
      <c r="V63" s="29" t="s">
        <v>171</v>
      </c>
      <c r="W63" s="55" t="s">
        <v>172</v>
      </c>
      <c r="X63" s="7"/>
    </row>
    <row r="64" spans="11:24" s="60" customFormat="1" x14ac:dyDescent="0.3">
      <c r="K64" s="55" t="s">
        <v>132</v>
      </c>
      <c r="L64" s="69" t="s">
        <v>165</v>
      </c>
      <c r="M64" s="28">
        <v>0.03</v>
      </c>
      <c r="N64" s="28">
        <v>0.15</v>
      </c>
      <c r="O64" s="28">
        <v>0.12</v>
      </c>
      <c r="P64" s="28">
        <v>1.5</v>
      </c>
      <c r="Q64" s="28">
        <v>3</v>
      </c>
      <c r="R64" s="28">
        <v>5</v>
      </c>
      <c r="S64" s="28">
        <v>2</v>
      </c>
      <c r="T64" s="29" t="s">
        <v>34</v>
      </c>
      <c r="U64" s="29" t="s">
        <v>35</v>
      </c>
      <c r="V64" s="29" t="s">
        <v>133</v>
      </c>
      <c r="W64" s="55" t="s">
        <v>134</v>
      </c>
      <c r="X64" s="7"/>
    </row>
    <row r="65" spans="11:24" s="60" customFormat="1" x14ac:dyDescent="0.3">
      <c r="K65" s="55" t="s">
        <v>216</v>
      </c>
      <c r="L65" s="69" t="s">
        <v>217</v>
      </c>
      <c r="M65" s="28">
        <v>0.05</v>
      </c>
      <c r="N65" s="28">
        <v>0.25</v>
      </c>
      <c r="O65" s="28">
        <v>0.2</v>
      </c>
      <c r="P65" s="28">
        <v>2.5</v>
      </c>
      <c r="Q65" s="28">
        <v>5</v>
      </c>
      <c r="R65" s="28">
        <v>5</v>
      </c>
      <c r="S65" s="28">
        <v>2</v>
      </c>
      <c r="T65" s="29" t="s">
        <v>34</v>
      </c>
      <c r="U65" s="29" t="s">
        <v>35</v>
      </c>
      <c r="V65" s="29" t="s">
        <v>121</v>
      </c>
      <c r="W65" s="55" t="s">
        <v>218</v>
      </c>
      <c r="X65" s="7"/>
    </row>
    <row r="66" spans="11:24" s="60" customFormat="1" x14ac:dyDescent="0.3">
      <c r="K66" s="55" t="s">
        <v>120</v>
      </c>
      <c r="L66" s="69" t="s">
        <v>217</v>
      </c>
      <c r="M66" s="28">
        <v>0.03</v>
      </c>
      <c r="N66" s="28">
        <v>0.15</v>
      </c>
      <c r="O66" s="28">
        <v>0.12</v>
      </c>
      <c r="P66" s="28">
        <v>1.5</v>
      </c>
      <c r="Q66" s="28">
        <v>3</v>
      </c>
      <c r="R66" s="28">
        <v>5</v>
      </c>
      <c r="S66" s="28">
        <v>2</v>
      </c>
      <c r="T66" s="29" t="s">
        <v>34</v>
      </c>
      <c r="U66" s="29" t="s">
        <v>35</v>
      </c>
      <c r="V66" s="29" t="s">
        <v>121</v>
      </c>
      <c r="W66" s="55" t="s">
        <v>122</v>
      </c>
      <c r="X66" s="7"/>
    </row>
    <row r="67" spans="11:24" s="60" customFormat="1" x14ac:dyDescent="0.3">
      <c r="K67" s="55" t="s">
        <v>128</v>
      </c>
      <c r="L67" s="69" t="s">
        <v>165</v>
      </c>
      <c r="M67" s="28">
        <v>0.03</v>
      </c>
      <c r="N67" s="28">
        <v>0.15</v>
      </c>
      <c r="O67" s="28">
        <v>0.12</v>
      </c>
      <c r="P67" s="28">
        <v>1.5</v>
      </c>
      <c r="Q67" s="28">
        <v>3</v>
      </c>
      <c r="R67" s="28">
        <v>5</v>
      </c>
      <c r="S67" s="28">
        <v>2</v>
      </c>
      <c r="T67" s="29" t="s">
        <v>34</v>
      </c>
      <c r="U67" s="29" t="s">
        <v>35</v>
      </c>
      <c r="V67" s="29" t="s">
        <v>129</v>
      </c>
      <c r="W67" s="55" t="s">
        <v>93</v>
      </c>
      <c r="X67" s="7"/>
    </row>
    <row r="68" spans="11:24" s="60" customFormat="1" x14ac:dyDescent="0.3">
      <c r="K68" s="55" t="s">
        <v>126</v>
      </c>
      <c r="L68" s="69" t="s">
        <v>165</v>
      </c>
      <c r="M68" s="28">
        <v>0.03</v>
      </c>
      <c r="N68" s="28">
        <v>0.15</v>
      </c>
      <c r="O68" s="28">
        <v>0.12</v>
      </c>
      <c r="P68" s="28">
        <v>1.5</v>
      </c>
      <c r="Q68" s="28">
        <v>3</v>
      </c>
      <c r="R68" s="28">
        <v>5</v>
      </c>
      <c r="S68" s="28">
        <v>2</v>
      </c>
      <c r="T68" s="29" t="s">
        <v>34</v>
      </c>
      <c r="U68" s="29" t="s">
        <v>35</v>
      </c>
      <c r="V68" s="29" t="s">
        <v>127</v>
      </c>
      <c r="W68" s="55" t="s">
        <v>93</v>
      </c>
      <c r="X68" s="7"/>
    </row>
    <row r="69" spans="11:24" s="60" customFormat="1" x14ac:dyDescent="0.3">
      <c r="K69" s="55" t="s">
        <v>91</v>
      </c>
      <c r="L69" s="69" t="s">
        <v>165</v>
      </c>
      <c r="M69" s="28">
        <v>0.03</v>
      </c>
      <c r="N69" s="28">
        <v>0.15</v>
      </c>
      <c r="O69" s="28">
        <v>0.12</v>
      </c>
      <c r="P69" s="28">
        <v>1.5</v>
      </c>
      <c r="Q69" s="28">
        <v>3</v>
      </c>
      <c r="R69" s="28">
        <v>5</v>
      </c>
      <c r="S69" s="28">
        <v>2</v>
      </c>
      <c r="T69" s="29" t="s">
        <v>34</v>
      </c>
      <c r="U69" s="29" t="s">
        <v>35</v>
      </c>
      <c r="V69" s="29" t="s">
        <v>92</v>
      </c>
      <c r="W69" s="55" t="s">
        <v>122</v>
      </c>
      <c r="X69" s="7"/>
    </row>
    <row r="70" spans="11:24" s="60" customFormat="1" x14ac:dyDescent="0.3">
      <c r="K70" s="55" t="s">
        <v>154</v>
      </c>
      <c r="L70" s="69" t="s">
        <v>165</v>
      </c>
      <c r="M70" s="28">
        <v>0.03</v>
      </c>
      <c r="N70" s="28">
        <v>0.15</v>
      </c>
      <c r="O70" s="28">
        <v>0.12</v>
      </c>
      <c r="P70" s="28">
        <v>1.5</v>
      </c>
      <c r="Q70" s="28">
        <v>3</v>
      </c>
      <c r="R70" s="28">
        <v>5</v>
      </c>
      <c r="S70" s="28">
        <v>2</v>
      </c>
      <c r="T70" s="29" t="s">
        <v>34</v>
      </c>
      <c r="U70" s="29" t="s">
        <v>35</v>
      </c>
      <c r="V70" s="29" t="s">
        <v>153</v>
      </c>
      <c r="W70" s="55" t="s">
        <v>122</v>
      </c>
      <c r="X70" s="7"/>
    </row>
    <row r="71" spans="11:24" s="60" customFormat="1" ht="19.2" customHeight="1" x14ac:dyDescent="0.3">
      <c r="K71" s="55" t="s">
        <v>211</v>
      </c>
      <c r="L71" s="69" t="s">
        <v>165</v>
      </c>
      <c r="M71" s="28">
        <v>0.03</v>
      </c>
      <c r="N71" s="28">
        <v>0.15</v>
      </c>
      <c r="O71" s="28">
        <v>0.12</v>
      </c>
      <c r="P71" s="28">
        <v>1.5</v>
      </c>
      <c r="Q71" s="28">
        <v>3</v>
      </c>
      <c r="R71" s="28">
        <v>5</v>
      </c>
      <c r="S71" s="28">
        <v>2</v>
      </c>
      <c r="T71" s="29" t="s">
        <v>34</v>
      </c>
      <c r="U71" s="29" t="s">
        <v>35</v>
      </c>
      <c r="V71" s="29" t="s">
        <v>209</v>
      </c>
      <c r="W71" s="55" t="s">
        <v>210</v>
      </c>
      <c r="X71" s="7"/>
    </row>
    <row r="72" spans="11:24" s="60" customFormat="1" x14ac:dyDescent="0.3">
      <c r="K72" s="68" t="s">
        <v>130</v>
      </c>
      <c r="L72" s="69" t="s">
        <v>165</v>
      </c>
      <c r="M72" s="28">
        <v>0.03</v>
      </c>
      <c r="N72" s="28">
        <v>0.15</v>
      </c>
      <c r="O72" s="28">
        <v>0.12</v>
      </c>
      <c r="P72" s="28">
        <v>1.5</v>
      </c>
      <c r="Q72" s="28">
        <v>3</v>
      </c>
      <c r="R72" s="28">
        <v>5</v>
      </c>
      <c r="S72" s="28">
        <v>3</v>
      </c>
      <c r="T72" s="29" t="s">
        <v>34</v>
      </c>
      <c r="U72" s="29" t="s">
        <v>35</v>
      </c>
      <c r="V72" s="71" t="s">
        <v>109</v>
      </c>
      <c r="W72" s="68" t="s">
        <v>131</v>
      </c>
      <c r="X72" s="7"/>
    </row>
    <row r="73" spans="11:24" s="60" customFormat="1" x14ac:dyDescent="0.3">
      <c r="K73" s="68" t="s">
        <v>108</v>
      </c>
      <c r="L73" s="69" t="s">
        <v>165</v>
      </c>
      <c r="M73" s="28">
        <v>0.03</v>
      </c>
      <c r="N73" s="28">
        <v>0.15</v>
      </c>
      <c r="O73" s="28">
        <v>0.12</v>
      </c>
      <c r="P73" s="28">
        <v>1.5</v>
      </c>
      <c r="Q73" s="28">
        <v>3</v>
      </c>
      <c r="R73" s="28">
        <v>5</v>
      </c>
      <c r="S73" s="28">
        <v>3</v>
      </c>
      <c r="T73" s="29" t="s">
        <v>34</v>
      </c>
      <c r="U73" s="29" t="s">
        <v>35</v>
      </c>
      <c r="V73" s="71" t="s">
        <v>109</v>
      </c>
      <c r="W73" s="68" t="s">
        <v>110</v>
      </c>
      <c r="X73" s="7"/>
    </row>
    <row r="74" spans="11:24" s="60" customFormat="1" x14ac:dyDescent="0.3">
      <c r="K74" s="77" t="s">
        <v>205</v>
      </c>
      <c r="L74" s="69" t="s">
        <v>165</v>
      </c>
      <c r="M74" s="28">
        <v>0.03</v>
      </c>
      <c r="N74" s="28">
        <v>0.15</v>
      </c>
      <c r="O74" s="28">
        <v>0.12</v>
      </c>
      <c r="P74" s="28">
        <v>1.5</v>
      </c>
      <c r="Q74" s="28">
        <v>3</v>
      </c>
      <c r="R74" s="28">
        <v>5</v>
      </c>
      <c r="S74" s="28">
        <v>3</v>
      </c>
      <c r="T74" s="29" t="s">
        <v>34</v>
      </c>
      <c r="U74" s="29" t="s">
        <v>35</v>
      </c>
      <c r="V74" s="29" t="s">
        <v>202</v>
      </c>
      <c r="W74" s="55" t="s">
        <v>204</v>
      </c>
      <c r="X74" s="7"/>
    </row>
    <row r="75" spans="11:24" s="60" customFormat="1" x14ac:dyDescent="0.3">
      <c r="K75" s="68" t="s">
        <v>180</v>
      </c>
      <c r="L75" s="69" t="s">
        <v>165</v>
      </c>
      <c r="M75" s="28">
        <v>0.03</v>
      </c>
      <c r="N75" s="28">
        <v>0.15</v>
      </c>
      <c r="O75" s="28">
        <v>0.12</v>
      </c>
      <c r="P75" s="28">
        <v>1.5</v>
      </c>
      <c r="Q75" s="28">
        <v>3</v>
      </c>
      <c r="R75" s="28">
        <v>5</v>
      </c>
      <c r="S75" s="28">
        <v>3</v>
      </c>
      <c r="T75" s="29" t="s">
        <v>34</v>
      </c>
      <c r="U75" s="29" t="s">
        <v>35</v>
      </c>
      <c r="V75" s="71" t="s">
        <v>181</v>
      </c>
      <c r="W75" s="68" t="s">
        <v>182</v>
      </c>
      <c r="X75" s="7"/>
    </row>
    <row r="76" spans="11:24" s="60" customFormat="1" ht="20.399999999999999" x14ac:dyDescent="0.3">
      <c r="K76" s="68" t="s">
        <v>178</v>
      </c>
      <c r="L76" s="69" t="s">
        <v>165</v>
      </c>
      <c r="M76" s="28">
        <v>0.03</v>
      </c>
      <c r="N76" s="28">
        <v>0.15</v>
      </c>
      <c r="O76" s="28">
        <v>0.12</v>
      </c>
      <c r="P76" s="28">
        <v>1.5</v>
      </c>
      <c r="Q76" s="28">
        <v>3</v>
      </c>
      <c r="R76" s="28">
        <v>5</v>
      </c>
      <c r="S76" s="28">
        <v>3</v>
      </c>
      <c r="T76" s="29" t="s">
        <v>34</v>
      </c>
      <c r="U76" s="29" t="s">
        <v>35</v>
      </c>
      <c r="V76" s="71" t="s">
        <v>177</v>
      </c>
      <c r="W76" s="68" t="s">
        <v>179</v>
      </c>
      <c r="X76" s="7"/>
    </row>
    <row r="77" spans="11:24" s="60" customFormat="1" x14ac:dyDescent="0.3">
      <c r="K77" s="68" t="s">
        <v>118</v>
      </c>
      <c r="L77" s="69" t="s">
        <v>165</v>
      </c>
      <c r="M77" s="70">
        <v>0.03</v>
      </c>
      <c r="N77" s="70">
        <v>0.15</v>
      </c>
      <c r="O77" s="70">
        <v>0.12</v>
      </c>
      <c r="P77" s="70">
        <v>1.5</v>
      </c>
      <c r="Q77" s="70">
        <v>3</v>
      </c>
      <c r="R77" s="70">
        <v>5</v>
      </c>
      <c r="S77" s="70">
        <v>2</v>
      </c>
      <c r="T77" s="71" t="s">
        <v>34</v>
      </c>
      <c r="U77" s="71" t="s">
        <v>35</v>
      </c>
      <c r="V77" s="71" t="s">
        <v>117</v>
      </c>
      <c r="W77" s="68" t="s">
        <v>119</v>
      </c>
      <c r="X77" s="7"/>
    </row>
    <row r="78" spans="11:24" s="60" customFormat="1" x14ac:dyDescent="0.3">
      <c r="K78" s="68" t="s">
        <v>183</v>
      </c>
      <c r="L78" s="69" t="s">
        <v>165</v>
      </c>
      <c r="M78" s="70">
        <v>0.03</v>
      </c>
      <c r="N78" s="70">
        <v>0.15</v>
      </c>
      <c r="O78" s="70">
        <v>0.12</v>
      </c>
      <c r="P78" s="70">
        <v>1.5</v>
      </c>
      <c r="Q78" s="70">
        <v>3</v>
      </c>
      <c r="R78" s="70">
        <v>5</v>
      </c>
      <c r="S78" s="70">
        <v>2</v>
      </c>
      <c r="T78" s="71" t="s">
        <v>34</v>
      </c>
      <c r="U78" s="71" t="s">
        <v>35</v>
      </c>
      <c r="V78" s="71" t="s">
        <v>184</v>
      </c>
      <c r="W78" s="68" t="s">
        <v>185</v>
      </c>
      <c r="X78" s="7"/>
    </row>
    <row r="79" spans="11:24" s="60" customFormat="1" ht="34.200000000000003" customHeight="1" x14ac:dyDescent="0.3">
      <c r="K79" s="68" t="s">
        <v>149</v>
      </c>
      <c r="L79" s="75" t="s">
        <v>152</v>
      </c>
      <c r="M79" s="70">
        <v>0.03</v>
      </c>
      <c r="N79" s="70">
        <v>0.15</v>
      </c>
      <c r="O79" s="70">
        <v>0.12</v>
      </c>
      <c r="P79" s="70">
        <v>1.5</v>
      </c>
      <c r="Q79" s="70">
        <v>3</v>
      </c>
      <c r="R79" s="70">
        <v>5</v>
      </c>
      <c r="S79" s="70">
        <v>2</v>
      </c>
      <c r="T79" s="71" t="s">
        <v>34</v>
      </c>
      <c r="U79" s="71" t="s">
        <v>35</v>
      </c>
      <c r="V79" s="71" t="s">
        <v>150</v>
      </c>
      <c r="W79" s="68" t="s">
        <v>151</v>
      </c>
      <c r="X79" s="7"/>
    </row>
    <row r="80" spans="11:24" s="60" customFormat="1" x14ac:dyDescent="0.3">
      <c r="K80" s="68" t="s">
        <v>147</v>
      </c>
      <c r="L80" s="69" t="s">
        <v>165</v>
      </c>
      <c r="M80" s="70">
        <v>0.03</v>
      </c>
      <c r="N80" s="70">
        <v>0.15</v>
      </c>
      <c r="O80" s="70">
        <v>0.12</v>
      </c>
      <c r="P80" s="70">
        <v>1.5</v>
      </c>
      <c r="Q80" s="70">
        <v>3</v>
      </c>
      <c r="R80" s="70">
        <v>5</v>
      </c>
      <c r="S80" s="70">
        <v>2</v>
      </c>
      <c r="T80" s="71" t="s">
        <v>34</v>
      </c>
      <c r="U80" s="71" t="s">
        <v>35</v>
      </c>
      <c r="V80" s="71" t="s">
        <v>146</v>
      </c>
      <c r="W80" s="68" t="s">
        <v>148</v>
      </c>
      <c r="X80" s="7"/>
    </row>
    <row r="81" spans="11:24" s="60" customFormat="1" x14ac:dyDescent="0.3">
      <c r="K81" s="68" t="s">
        <v>144</v>
      </c>
      <c r="L81" s="69" t="s">
        <v>165</v>
      </c>
      <c r="M81" s="70">
        <v>0.03</v>
      </c>
      <c r="N81" s="70">
        <v>0.15</v>
      </c>
      <c r="O81" s="70">
        <v>0.12</v>
      </c>
      <c r="P81" s="70">
        <v>1.5</v>
      </c>
      <c r="Q81" s="70">
        <v>3</v>
      </c>
      <c r="R81" s="70">
        <v>5</v>
      </c>
      <c r="S81" s="70">
        <v>2</v>
      </c>
      <c r="T81" s="71" t="s">
        <v>34</v>
      </c>
      <c r="U81" s="71" t="s">
        <v>35</v>
      </c>
      <c r="V81" s="71" t="s">
        <v>142</v>
      </c>
      <c r="W81" s="68" t="s">
        <v>145</v>
      </c>
      <c r="X81" s="7"/>
    </row>
    <row r="82" spans="11:24" s="60" customFormat="1" x14ac:dyDescent="0.3">
      <c r="K82" s="68" t="s">
        <v>141</v>
      </c>
      <c r="L82" s="69" t="s">
        <v>165</v>
      </c>
      <c r="M82" s="70">
        <v>0.03</v>
      </c>
      <c r="N82" s="70">
        <v>0.15</v>
      </c>
      <c r="O82" s="70">
        <v>0.12</v>
      </c>
      <c r="P82" s="70">
        <v>1.5</v>
      </c>
      <c r="Q82" s="70">
        <v>3</v>
      </c>
      <c r="R82" s="70">
        <v>5</v>
      </c>
      <c r="S82" s="70">
        <v>2</v>
      </c>
      <c r="T82" s="71" t="s">
        <v>34</v>
      </c>
      <c r="U82" s="71" t="s">
        <v>35</v>
      </c>
      <c r="V82" s="71" t="s">
        <v>142</v>
      </c>
      <c r="W82" s="68" t="s">
        <v>143</v>
      </c>
      <c r="X82" s="7"/>
    </row>
    <row r="83" spans="11:24" s="60" customFormat="1" x14ac:dyDescent="0.3">
      <c r="K83" s="68" t="s">
        <v>160</v>
      </c>
      <c r="L83" s="69" t="s">
        <v>165</v>
      </c>
      <c r="M83" s="70">
        <v>0.03</v>
      </c>
      <c r="N83" s="70">
        <v>0.15</v>
      </c>
      <c r="O83" s="70">
        <v>0.12</v>
      </c>
      <c r="P83" s="70">
        <v>1.5</v>
      </c>
      <c r="Q83" s="70">
        <v>3</v>
      </c>
      <c r="R83" s="70">
        <v>5</v>
      </c>
      <c r="S83" s="70">
        <v>2</v>
      </c>
      <c r="T83" s="71" t="s">
        <v>34</v>
      </c>
      <c r="U83" s="71" t="s">
        <v>35</v>
      </c>
      <c r="V83" s="29" t="s">
        <v>161</v>
      </c>
      <c r="W83" s="55" t="s">
        <v>162</v>
      </c>
      <c r="X83" s="7"/>
    </row>
    <row r="84" spans="11:24" s="60" customFormat="1" ht="20.399999999999999" x14ac:dyDescent="0.3">
      <c r="K84" s="68" t="s">
        <v>135</v>
      </c>
      <c r="L84" s="75" t="s">
        <v>137</v>
      </c>
      <c r="M84" s="70">
        <v>0.03</v>
      </c>
      <c r="N84" s="70">
        <v>0.15</v>
      </c>
      <c r="O84" s="70">
        <v>0.12</v>
      </c>
      <c r="P84" s="70">
        <v>1.5</v>
      </c>
      <c r="Q84" s="70">
        <v>3</v>
      </c>
      <c r="R84" s="70">
        <v>5</v>
      </c>
      <c r="S84" s="70">
        <v>2</v>
      </c>
      <c r="T84" s="71" t="s">
        <v>34</v>
      </c>
      <c r="U84" s="71" t="s">
        <v>35</v>
      </c>
      <c r="V84" s="71" t="s">
        <v>136</v>
      </c>
      <c r="W84" s="68" t="s">
        <v>138</v>
      </c>
      <c r="X84" s="7"/>
    </row>
    <row r="85" spans="11:24" s="60" customFormat="1" x14ac:dyDescent="0.3">
      <c r="K85" s="68" t="s">
        <v>196</v>
      </c>
      <c r="L85" s="69" t="s">
        <v>165</v>
      </c>
      <c r="M85" s="70">
        <v>0.03</v>
      </c>
      <c r="N85" s="70">
        <v>0.15</v>
      </c>
      <c r="O85" s="70">
        <v>0.12</v>
      </c>
      <c r="P85" s="70">
        <v>1.5</v>
      </c>
      <c r="Q85" s="70">
        <v>3</v>
      </c>
      <c r="R85" s="70">
        <v>5</v>
      </c>
      <c r="S85" s="70">
        <v>2</v>
      </c>
      <c r="T85" s="71" t="s">
        <v>34</v>
      </c>
      <c r="U85" s="71" t="s">
        <v>35</v>
      </c>
      <c r="V85" s="71" t="s">
        <v>115</v>
      </c>
      <c r="W85" s="68" t="s">
        <v>197</v>
      </c>
      <c r="X85" s="7"/>
    </row>
    <row r="86" spans="11:24" s="60" customFormat="1" x14ac:dyDescent="0.3">
      <c r="K86" s="68" t="s">
        <v>219</v>
      </c>
      <c r="L86" s="69" t="s">
        <v>165</v>
      </c>
      <c r="M86" s="70">
        <v>0.03</v>
      </c>
      <c r="N86" s="70">
        <v>0.15</v>
      </c>
      <c r="O86" s="70">
        <v>0.12</v>
      </c>
      <c r="P86" s="70">
        <v>1.5</v>
      </c>
      <c r="Q86" s="70">
        <v>3</v>
      </c>
      <c r="R86" s="70">
        <v>5</v>
      </c>
      <c r="S86" s="70">
        <v>2</v>
      </c>
      <c r="T86" s="71" t="s">
        <v>34</v>
      </c>
      <c r="U86" s="71" t="s">
        <v>35</v>
      </c>
      <c r="V86" s="71" t="s">
        <v>115</v>
      </c>
      <c r="W86" s="68" t="s">
        <v>220</v>
      </c>
      <c r="X86" s="7"/>
    </row>
    <row r="87" spans="11:24" s="60" customFormat="1" x14ac:dyDescent="0.3">
      <c r="K87" s="68" t="s">
        <v>114</v>
      </c>
      <c r="L87" s="69" t="s">
        <v>165</v>
      </c>
      <c r="M87" s="70">
        <v>0.03</v>
      </c>
      <c r="N87" s="70">
        <v>0.15</v>
      </c>
      <c r="O87" s="70">
        <v>0.12</v>
      </c>
      <c r="P87" s="70">
        <v>1.5</v>
      </c>
      <c r="Q87" s="70">
        <v>3</v>
      </c>
      <c r="R87" s="70">
        <v>5</v>
      </c>
      <c r="S87" s="70">
        <v>2</v>
      </c>
      <c r="T87" s="71" t="s">
        <v>34</v>
      </c>
      <c r="U87" s="71" t="s">
        <v>35</v>
      </c>
      <c r="V87" s="71" t="s">
        <v>115</v>
      </c>
      <c r="W87" s="68" t="s">
        <v>116</v>
      </c>
      <c r="X87" s="7"/>
    </row>
    <row r="88" spans="11:24" s="60" customFormat="1" x14ac:dyDescent="0.3">
      <c r="K88" s="68" t="s">
        <v>158</v>
      </c>
      <c r="L88" s="69" t="s">
        <v>166</v>
      </c>
      <c r="M88" s="70">
        <v>0.03</v>
      </c>
      <c r="N88" s="70">
        <v>0.15</v>
      </c>
      <c r="O88" s="70">
        <v>0.12</v>
      </c>
      <c r="P88" s="70">
        <v>1.5</v>
      </c>
      <c r="Q88" s="70">
        <v>3</v>
      </c>
      <c r="R88" s="70">
        <v>5</v>
      </c>
      <c r="S88" s="70">
        <v>2</v>
      </c>
      <c r="T88" s="71" t="s">
        <v>34</v>
      </c>
      <c r="U88" s="71" t="s">
        <v>35</v>
      </c>
      <c r="V88" s="71" t="s">
        <v>156</v>
      </c>
      <c r="W88" s="68" t="s">
        <v>159</v>
      </c>
      <c r="X88" s="7"/>
    </row>
    <row r="89" spans="11:24" s="60" customFormat="1" x14ac:dyDescent="0.3">
      <c r="K89" s="68" t="s">
        <v>155</v>
      </c>
      <c r="L89" s="69" t="s">
        <v>166</v>
      </c>
      <c r="M89" s="70">
        <v>0.03</v>
      </c>
      <c r="N89" s="70">
        <v>0.15</v>
      </c>
      <c r="O89" s="70">
        <v>0.12</v>
      </c>
      <c r="P89" s="70">
        <v>1.5</v>
      </c>
      <c r="Q89" s="70">
        <v>3</v>
      </c>
      <c r="R89" s="70">
        <v>5</v>
      </c>
      <c r="S89" s="70">
        <v>2</v>
      </c>
      <c r="T89" s="71" t="s">
        <v>34</v>
      </c>
      <c r="U89" s="71" t="s">
        <v>35</v>
      </c>
      <c r="V89" s="71" t="s">
        <v>156</v>
      </c>
      <c r="W89" s="68" t="s">
        <v>157</v>
      </c>
      <c r="X89" s="7"/>
    </row>
    <row r="90" spans="11:24" s="60" customFormat="1" ht="19.2" customHeight="1" x14ac:dyDescent="0.3">
      <c r="K90" s="68" t="s">
        <v>186</v>
      </c>
      <c r="L90" s="69" t="s">
        <v>165</v>
      </c>
      <c r="M90" s="70">
        <v>0.03</v>
      </c>
      <c r="N90" s="70">
        <v>0.15</v>
      </c>
      <c r="O90" s="70">
        <v>0.12</v>
      </c>
      <c r="P90" s="70">
        <v>1.5</v>
      </c>
      <c r="Q90" s="70">
        <v>3</v>
      </c>
      <c r="R90" s="70">
        <v>5</v>
      </c>
      <c r="S90" s="70">
        <v>2</v>
      </c>
      <c r="T90" s="71" t="s">
        <v>34</v>
      </c>
      <c r="U90" s="71" t="s">
        <v>35</v>
      </c>
      <c r="V90" s="71" t="s">
        <v>187</v>
      </c>
      <c r="W90" s="68" t="s">
        <v>188</v>
      </c>
      <c r="X90" s="7"/>
    </row>
    <row r="91" spans="11:24" s="60" customFormat="1" ht="19.2" customHeight="1" x14ac:dyDescent="0.3">
      <c r="K91" s="68" t="s">
        <v>221</v>
      </c>
      <c r="L91" s="69" t="s">
        <v>165</v>
      </c>
      <c r="M91" s="70">
        <v>0.03</v>
      </c>
      <c r="N91" s="70">
        <v>0.15</v>
      </c>
      <c r="O91" s="70">
        <v>0.12</v>
      </c>
      <c r="P91" s="70">
        <v>1.5</v>
      </c>
      <c r="Q91" s="70">
        <v>3</v>
      </c>
      <c r="R91" s="70">
        <v>5</v>
      </c>
      <c r="S91" s="70">
        <v>2</v>
      </c>
      <c r="T91" s="71" t="s">
        <v>34</v>
      </c>
      <c r="U91" s="71" t="s">
        <v>35</v>
      </c>
      <c r="V91" s="71" t="s">
        <v>222</v>
      </c>
      <c r="W91" s="68" t="s">
        <v>223</v>
      </c>
      <c r="X91" s="7"/>
    </row>
    <row r="92" spans="11:24" s="60" customFormat="1" x14ac:dyDescent="0.3">
      <c r="K92" s="68" t="s">
        <v>174</v>
      </c>
      <c r="L92" s="69" t="s">
        <v>165</v>
      </c>
      <c r="M92" s="70">
        <v>0.03</v>
      </c>
      <c r="N92" s="70">
        <v>0.15</v>
      </c>
      <c r="O92" s="70">
        <v>0.12</v>
      </c>
      <c r="P92" s="70">
        <v>1.5</v>
      </c>
      <c r="Q92" s="70">
        <v>3</v>
      </c>
      <c r="R92" s="70">
        <v>5</v>
      </c>
      <c r="S92" s="70">
        <v>2</v>
      </c>
      <c r="T92" s="71" t="s">
        <v>34</v>
      </c>
      <c r="U92" s="71" t="s">
        <v>35</v>
      </c>
      <c r="V92" s="71" t="s">
        <v>176</v>
      </c>
      <c r="W92" s="68" t="s">
        <v>175</v>
      </c>
      <c r="X92" s="7"/>
    </row>
    <row r="93" spans="11:24" s="60" customFormat="1" x14ac:dyDescent="0.3">
      <c r="K93" s="68" t="s">
        <v>163</v>
      </c>
      <c r="L93" s="69" t="s">
        <v>165</v>
      </c>
      <c r="M93" s="70">
        <v>0.03</v>
      </c>
      <c r="N93" s="70">
        <v>0.15</v>
      </c>
      <c r="O93" s="70">
        <v>0.12</v>
      </c>
      <c r="P93" s="70">
        <v>1.5</v>
      </c>
      <c r="Q93" s="70">
        <v>3</v>
      </c>
      <c r="R93" s="70">
        <v>5</v>
      </c>
      <c r="S93" s="70">
        <v>2</v>
      </c>
      <c r="T93" s="71" t="s">
        <v>34</v>
      </c>
      <c r="U93" s="71" t="s">
        <v>35</v>
      </c>
      <c r="V93" s="71" t="s">
        <v>164</v>
      </c>
      <c r="W93" s="68" t="s">
        <v>125</v>
      </c>
      <c r="X93" s="7"/>
    </row>
    <row r="94" spans="11:24" s="60" customFormat="1" x14ac:dyDescent="0.3">
      <c r="K94" s="68" t="s">
        <v>123</v>
      </c>
      <c r="L94" s="69" t="s">
        <v>166</v>
      </c>
      <c r="M94" s="70">
        <v>0.03</v>
      </c>
      <c r="N94" s="70">
        <v>0.15</v>
      </c>
      <c r="O94" s="70">
        <v>0.12</v>
      </c>
      <c r="P94" s="70">
        <v>1.5</v>
      </c>
      <c r="Q94" s="70">
        <v>3</v>
      </c>
      <c r="R94" s="70">
        <v>5</v>
      </c>
      <c r="S94" s="70">
        <v>2</v>
      </c>
      <c r="T94" s="71" t="s">
        <v>34</v>
      </c>
      <c r="U94" s="71" t="s">
        <v>35</v>
      </c>
      <c r="V94" s="71" t="s">
        <v>124</v>
      </c>
      <c r="W94" s="68" t="s">
        <v>125</v>
      </c>
      <c r="X94" s="7"/>
    </row>
    <row r="95" spans="11:24" s="60" customFormat="1" ht="20.399999999999999" x14ac:dyDescent="0.3">
      <c r="K95" s="68" t="s">
        <v>168</v>
      </c>
      <c r="L95" s="69" t="s">
        <v>170</v>
      </c>
      <c r="M95" s="70">
        <v>0.03</v>
      </c>
      <c r="N95" s="70">
        <v>0.15</v>
      </c>
      <c r="O95" s="70">
        <v>0.12</v>
      </c>
      <c r="P95" s="70">
        <v>1.5</v>
      </c>
      <c r="Q95" s="70">
        <v>3</v>
      </c>
      <c r="R95" s="70">
        <v>5</v>
      </c>
      <c r="S95" s="70">
        <v>2</v>
      </c>
      <c r="T95" s="71" t="s">
        <v>34</v>
      </c>
      <c r="U95" s="71" t="s">
        <v>35</v>
      </c>
      <c r="V95" s="71" t="s">
        <v>167</v>
      </c>
      <c r="W95" s="68" t="s">
        <v>169</v>
      </c>
      <c r="X95" s="7"/>
    </row>
    <row r="96" spans="11:24" s="60" customFormat="1" ht="20.399999999999999" customHeight="1" x14ac:dyDescent="0.3">
      <c r="K96" s="68" t="s">
        <v>206</v>
      </c>
      <c r="L96" s="69" t="s">
        <v>165</v>
      </c>
      <c r="M96" s="70">
        <v>0.03</v>
      </c>
      <c r="N96" s="70">
        <v>0.15</v>
      </c>
      <c r="O96" s="70">
        <v>0.12</v>
      </c>
      <c r="P96" s="70">
        <v>1.5</v>
      </c>
      <c r="Q96" s="70">
        <v>3</v>
      </c>
      <c r="R96" s="70">
        <v>5</v>
      </c>
      <c r="S96" s="70">
        <v>2</v>
      </c>
      <c r="T96" s="71" t="s">
        <v>34</v>
      </c>
      <c r="U96" s="71" t="s">
        <v>35</v>
      </c>
      <c r="V96" s="71" t="s">
        <v>207</v>
      </c>
      <c r="W96" s="68" t="s">
        <v>208</v>
      </c>
      <c r="X96" s="7"/>
    </row>
    <row r="97" spans="11:24" s="60" customFormat="1" x14ac:dyDescent="0.3">
      <c r="K97" s="68" t="s">
        <v>201</v>
      </c>
      <c r="L97" s="69" t="s">
        <v>165</v>
      </c>
      <c r="M97" s="70">
        <v>0.03</v>
      </c>
      <c r="N97" s="70">
        <v>0.15</v>
      </c>
      <c r="O97" s="70">
        <v>0.12</v>
      </c>
      <c r="P97" s="70">
        <v>1.5</v>
      </c>
      <c r="Q97" s="70">
        <v>3</v>
      </c>
      <c r="R97" s="70">
        <v>5</v>
      </c>
      <c r="S97" s="70">
        <v>2</v>
      </c>
      <c r="T97" s="71" t="s">
        <v>34</v>
      </c>
      <c r="U97" s="71" t="s">
        <v>35</v>
      </c>
      <c r="V97" s="71" t="s">
        <v>202</v>
      </c>
      <c r="W97" s="68" t="s">
        <v>200</v>
      </c>
      <c r="X97" s="7"/>
    </row>
    <row r="98" spans="11:24" s="60" customFormat="1" x14ac:dyDescent="0.3">
      <c r="K98" s="68" t="s">
        <v>198</v>
      </c>
      <c r="L98" s="69" t="s">
        <v>165</v>
      </c>
      <c r="M98" s="70">
        <v>0.03</v>
      </c>
      <c r="N98" s="70">
        <v>0.15</v>
      </c>
      <c r="O98" s="70">
        <v>0.12</v>
      </c>
      <c r="P98" s="70">
        <v>1.5</v>
      </c>
      <c r="Q98" s="70">
        <v>3</v>
      </c>
      <c r="R98" s="70">
        <v>5</v>
      </c>
      <c r="S98" s="70">
        <v>2</v>
      </c>
      <c r="T98" s="71" t="s">
        <v>34</v>
      </c>
      <c r="U98" s="71" t="s">
        <v>35</v>
      </c>
      <c r="V98" s="71" t="s">
        <v>199</v>
      </c>
      <c r="W98" s="68" t="s">
        <v>200</v>
      </c>
      <c r="X98" s="7"/>
    </row>
    <row r="99" spans="11:24" s="60" customFormat="1" x14ac:dyDescent="0.3">
      <c r="K99" s="68" t="s">
        <v>203</v>
      </c>
      <c r="L99" s="69" t="s">
        <v>165</v>
      </c>
      <c r="M99" s="70">
        <v>0.03</v>
      </c>
      <c r="N99" s="70">
        <v>0.15</v>
      </c>
      <c r="O99" s="70">
        <v>0.12</v>
      </c>
      <c r="P99" s="70">
        <v>1.5</v>
      </c>
      <c r="Q99" s="70">
        <v>3</v>
      </c>
      <c r="R99" s="70">
        <v>5</v>
      </c>
      <c r="S99" s="70">
        <v>2</v>
      </c>
      <c r="T99" s="71" t="s">
        <v>34</v>
      </c>
      <c r="U99" s="71" t="s">
        <v>35</v>
      </c>
      <c r="V99" s="71" t="s">
        <v>195</v>
      </c>
      <c r="W99" s="68" t="s">
        <v>140</v>
      </c>
      <c r="X99" s="7"/>
    </row>
    <row r="100" spans="11:24" s="60" customFormat="1" x14ac:dyDescent="0.3">
      <c r="K100" s="68" t="s">
        <v>194</v>
      </c>
      <c r="L100" s="69" t="s">
        <v>165</v>
      </c>
      <c r="M100" s="70">
        <v>0.03</v>
      </c>
      <c r="N100" s="70">
        <v>0.15</v>
      </c>
      <c r="O100" s="70">
        <v>0.12</v>
      </c>
      <c r="P100" s="70">
        <v>1.5</v>
      </c>
      <c r="Q100" s="70">
        <v>3</v>
      </c>
      <c r="R100" s="70">
        <v>5</v>
      </c>
      <c r="S100" s="70">
        <v>2</v>
      </c>
      <c r="T100" s="71" t="s">
        <v>34</v>
      </c>
      <c r="U100" s="71" t="s">
        <v>35</v>
      </c>
      <c r="V100" s="71" t="s">
        <v>195</v>
      </c>
      <c r="W100" s="68" t="s">
        <v>113</v>
      </c>
      <c r="X100" s="7"/>
    </row>
    <row r="101" spans="11:24" s="60" customFormat="1" x14ac:dyDescent="0.3">
      <c r="K101" s="68" t="s">
        <v>139</v>
      </c>
      <c r="L101" s="69" t="s">
        <v>165</v>
      </c>
      <c r="M101" s="70">
        <v>0.03</v>
      </c>
      <c r="N101" s="70">
        <v>0.15</v>
      </c>
      <c r="O101" s="70">
        <v>0.12</v>
      </c>
      <c r="P101" s="70">
        <v>1.5</v>
      </c>
      <c r="Q101" s="70">
        <v>3</v>
      </c>
      <c r="R101" s="70">
        <v>5</v>
      </c>
      <c r="S101" s="70">
        <v>2</v>
      </c>
      <c r="T101" s="71" t="s">
        <v>34</v>
      </c>
      <c r="U101" s="71" t="s">
        <v>35</v>
      </c>
      <c r="V101" s="71" t="s">
        <v>112</v>
      </c>
      <c r="W101" s="68" t="s">
        <v>140</v>
      </c>
      <c r="X101" s="7"/>
    </row>
    <row r="102" spans="11:24" s="60" customFormat="1" x14ac:dyDescent="0.3">
      <c r="K102" s="68" t="s">
        <v>111</v>
      </c>
      <c r="L102" s="69" t="s">
        <v>165</v>
      </c>
      <c r="M102" s="70">
        <v>0.03</v>
      </c>
      <c r="N102" s="70">
        <v>0.15</v>
      </c>
      <c r="O102" s="70">
        <v>0.12</v>
      </c>
      <c r="P102" s="70">
        <v>1.5</v>
      </c>
      <c r="Q102" s="70">
        <v>3</v>
      </c>
      <c r="R102" s="70">
        <v>5</v>
      </c>
      <c r="S102" s="70">
        <v>2</v>
      </c>
      <c r="T102" s="71" t="s">
        <v>34</v>
      </c>
      <c r="U102" s="71" t="s">
        <v>35</v>
      </c>
      <c r="V102" s="71" t="s">
        <v>112</v>
      </c>
      <c r="W102" s="68" t="s">
        <v>113</v>
      </c>
      <c r="X102" s="7"/>
    </row>
    <row r="103" spans="11:24" x14ac:dyDescent="0.3">
      <c r="K103" s="74"/>
      <c r="X103" s="7"/>
    </row>
    <row r="104" spans="11:24" x14ac:dyDescent="0.3">
      <c r="X104" s="7"/>
    </row>
    <row r="105" spans="11:24" x14ac:dyDescent="0.3">
      <c r="X105" s="7"/>
    </row>
    <row r="107" spans="11:24" x14ac:dyDescent="0.3">
      <c r="K107" s="60"/>
      <c r="X107" s="7"/>
    </row>
    <row r="108" spans="11:24" x14ac:dyDescent="0.3">
      <c r="X108" s="7"/>
    </row>
    <row r="109" spans="11:24" x14ac:dyDescent="0.3">
      <c r="X109" s="7"/>
    </row>
    <row r="110" spans="11:24" x14ac:dyDescent="0.3">
      <c r="X110" s="7"/>
    </row>
    <row r="111" spans="11:24" x14ac:dyDescent="0.3">
      <c r="X111" s="7"/>
    </row>
    <row r="112" spans="11:24" x14ac:dyDescent="0.3">
      <c r="X112" s="7"/>
    </row>
    <row r="113" spans="24:24" x14ac:dyDescent="0.3">
      <c r="X113" s="8"/>
    </row>
    <row r="114" spans="24:24" x14ac:dyDescent="0.3">
      <c r="X114" s="7"/>
    </row>
    <row r="115" spans="24:24" ht="15" customHeight="1" x14ac:dyDescent="0.3">
      <c r="X115" s="7"/>
    </row>
    <row r="116" spans="24:24" x14ac:dyDescent="0.3">
      <c r="X116" s="7"/>
    </row>
    <row r="117" spans="24:24" x14ac:dyDescent="0.3">
      <c r="X117" s="7"/>
    </row>
    <row r="118" spans="24:24" x14ac:dyDescent="0.3">
      <c r="X118" s="7"/>
    </row>
    <row r="119" spans="24:24" x14ac:dyDescent="0.3">
      <c r="X119" s="7"/>
    </row>
    <row r="120" spans="24:24" x14ac:dyDescent="0.3">
      <c r="X120" s="7"/>
    </row>
    <row r="121" spans="24:24" x14ac:dyDescent="0.3">
      <c r="X121" s="7"/>
    </row>
    <row r="122" spans="24:24" x14ac:dyDescent="0.3">
      <c r="X122" s="7"/>
    </row>
    <row r="123" spans="24:24" x14ac:dyDescent="0.3">
      <c r="X123" s="7"/>
    </row>
    <row r="124" spans="24:24" x14ac:dyDescent="0.3">
      <c r="X124" s="7"/>
    </row>
    <row r="125" spans="24:24" x14ac:dyDescent="0.3">
      <c r="X125" s="7"/>
    </row>
    <row r="126" spans="24:24" x14ac:dyDescent="0.3">
      <c r="X126" s="7"/>
    </row>
    <row r="127" spans="24:24" x14ac:dyDescent="0.3">
      <c r="X127" s="7"/>
    </row>
    <row r="128" spans="24:24" x14ac:dyDescent="0.3">
      <c r="X128" s="7"/>
    </row>
    <row r="129" spans="24:24" x14ac:dyDescent="0.3">
      <c r="X129" s="7"/>
    </row>
    <row r="130" spans="24:24" x14ac:dyDescent="0.3">
      <c r="X130" s="7"/>
    </row>
    <row r="131" spans="24:24" x14ac:dyDescent="0.3">
      <c r="X131" s="7"/>
    </row>
    <row r="132" spans="24:24" x14ac:dyDescent="0.3">
      <c r="X132" s="7"/>
    </row>
    <row r="133" spans="24:24" x14ac:dyDescent="0.3">
      <c r="X133" s="7"/>
    </row>
    <row r="134" spans="24:24" x14ac:dyDescent="0.3">
      <c r="X134" s="7"/>
    </row>
    <row r="135" spans="24:24" x14ac:dyDescent="0.3">
      <c r="X135" s="7"/>
    </row>
    <row r="136" spans="24:24" x14ac:dyDescent="0.3">
      <c r="X136" s="7"/>
    </row>
    <row r="137" spans="24:24" x14ac:dyDescent="0.3">
      <c r="X137" s="7"/>
    </row>
    <row r="138" spans="24:24" x14ac:dyDescent="0.3">
      <c r="X138" s="7"/>
    </row>
    <row r="139" spans="24:24" x14ac:dyDescent="0.3">
      <c r="X139" s="7"/>
    </row>
    <row r="140" spans="24:24" x14ac:dyDescent="0.3">
      <c r="X140" s="7"/>
    </row>
    <row r="141" spans="24:24" x14ac:dyDescent="0.3">
      <c r="X141" s="7"/>
    </row>
    <row r="142" spans="24:24" x14ac:dyDescent="0.3">
      <c r="X142" s="7"/>
    </row>
    <row r="143" spans="24:24" x14ac:dyDescent="0.3">
      <c r="X143" s="200"/>
    </row>
    <row r="144" spans="24:24" x14ac:dyDescent="0.3">
      <c r="X144" s="200"/>
    </row>
    <row r="145" spans="1:24" x14ac:dyDescent="0.3">
      <c r="X145" s="200"/>
    </row>
    <row r="146" spans="1:24" s="33" customFormat="1" x14ac:dyDescent="0.3">
      <c r="K146"/>
      <c r="L146" s="25"/>
      <c r="M146"/>
      <c r="N146"/>
      <c r="O146"/>
      <c r="P146"/>
      <c r="Q146"/>
      <c r="R146"/>
      <c r="S146"/>
      <c r="T146" s="6"/>
      <c r="U146" s="6"/>
      <c r="V146"/>
      <c r="X146" s="200"/>
    </row>
    <row r="147" spans="1:24" s="33" customFormat="1" x14ac:dyDescent="0.3">
      <c r="K147"/>
      <c r="L147" s="25"/>
      <c r="M147"/>
      <c r="N147"/>
      <c r="O147"/>
      <c r="P147"/>
      <c r="Q147"/>
      <c r="R147"/>
      <c r="S147"/>
      <c r="T147" s="6"/>
      <c r="U147" s="6"/>
      <c r="V147"/>
      <c r="X147" s="200"/>
    </row>
    <row r="148" spans="1:24" x14ac:dyDescent="0.3">
      <c r="X148" s="200"/>
    </row>
    <row r="149" spans="1:24" x14ac:dyDescent="0.3">
      <c r="A149" s="57"/>
    </row>
    <row r="150" spans="1:24" x14ac:dyDescent="0.3">
      <c r="A150" s="55"/>
    </row>
    <row r="151" spans="1:24" x14ac:dyDescent="0.3">
      <c r="A151" s="57"/>
    </row>
    <row r="152" spans="1:24" x14ac:dyDescent="0.3">
      <c r="A152" s="55"/>
    </row>
    <row r="153" spans="1:24" s="33" customFormat="1" x14ac:dyDescent="0.3">
      <c r="A153" s="57"/>
      <c r="K153"/>
      <c r="L153" s="25"/>
      <c r="M153"/>
      <c r="N153"/>
      <c r="O153"/>
      <c r="P153"/>
      <c r="Q153"/>
      <c r="R153"/>
      <c r="S153"/>
      <c r="T153" s="6"/>
      <c r="U153" s="6"/>
      <c r="V153"/>
    </row>
    <row r="154" spans="1:24" s="33" customFormat="1" x14ac:dyDescent="0.3">
      <c r="A154" s="55"/>
      <c r="K154"/>
      <c r="L154" s="25"/>
      <c r="M154"/>
      <c r="N154"/>
      <c r="O154"/>
      <c r="P154"/>
      <c r="Q154"/>
      <c r="R154"/>
      <c r="S154"/>
      <c r="T154" s="6"/>
      <c r="U154" s="6"/>
      <c r="V154"/>
    </row>
    <row r="155" spans="1:24" x14ac:dyDescent="0.3">
      <c r="A155" s="57"/>
    </row>
    <row r="156" spans="1:24" s="33" customFormat="1" x14ac:dyDescent="0.3">
      <c r="A156" s="55"/>
      <c r="K156"/>
      <c r="L156" s="25"/>
      <c r="M156"/>
      <c r="N156"/>
      <c r="O156"/>
      <c r="P156"/>
      <c r="Q156"/>
      <c r="R156"/>
      <c r="S156"/>
      <c r="T156" s="6"/>
      <c r="U156" s="6"/>
      <c r="V156"/>
    </row>
    <row r="157" spans="1:24" x14ac:dyDescent="0.3">
      <c r="A157" s="57"/>
    </row>
    <row r="158" spans="1:24" x14ac:dyDescent="0.3">
      <c r="A158" s="55"/>
    </row>
    <row r="159" spans="1:24" x14ac:dyDescent="0.3">
      <c r="A159" s="57"/>
    </row>
    <row r="160" spans="1:24" x14ac:dyDescent="0.3">
      <c r="A160" s="55"/>
    </row>
    <row r="161" spans="1:1" x14ac:dyDescent="0.3">
      <c r="A161" s="57"/>
    </row>
    <row r="162" spans="1:1" x14ac:dyDescent="0.3">
      <c r="A162" s="55"/>
    </row>
    <row r="163" spans="1:1" x14ac:dyDescent="0.3">
      <c r="A163" s="57"/>
    </row>
    <row r="164" spans="1:1" x14ac:dyDescent="0.3">
      <c r="A164" s="55"/>
    </row>
    <row r="165" spans="1:1" x14ac:dyDescent="0.3">
      <c r="A165" s="57"/>
    </row>
    <row r="166" spans="1:1" x14ac:dyDescent="0.3">
      <c r="A166" s="55"/>
    </row>
    <row r="167" spans="1:1" x14ac:dyDescent="0.3">
      <c r="A167" s="57"/>
    </row>
    <row r="168" spans="1:1" x14ac:dyDescent="0.3">
      <c r="A168" s="55"/>
    </row>
    <row r="169" spans="1:1" x14ac:dyDescent="0.3">
      <c r="A169" s="57"/>
    </row>
    <row r="170" spans="1:1" x14ac:dyDescent="0.3">
      <c r="A170" s="55"/>
    </row>
    <row r="171" spans="1:1" x14ac:dyDescent="0.3">
      <c r="A171" s="57"/>
    </row>
    <row r="172" spans="1:1" x14ac:dyDescent="0.3">
      <c r="A172" s="55"/>
    </row>
    <row r="173" spans="1:1" x14ac:dyDescent="0.3">
      <c r="A173" s="57"/>
    </row>
    <row r="174" spans="1:1" x14ac:dyDescent="0.3">
      <c r="A174" s="55"/>
    </row>
    <row r="175" spans="1:1" x14ac:dyDescent="0.3">
      <c r="A175" s="57"/>
    </row>
    <row r="176" spans="1:1" x14ac:dyDescent="0.3">
      <c r="A176" s="55"/>
    </row>
    <row r="177" spans="1:1" x14ac:dyDescent="0.3">
      <c r="A177" s="57"/>
    </row>
    <row r="178" spans="1:1" x14ac:dyDescent="0.3">
      <c r="A178" s="55"/>
    </row>
    <row r="179" spans="1:1" x14ac:dyDescent="0.3">
      <c r="A179" s="57"/>
    </row>
    <row r="180" spans="1:1" x14ac:dyDescent="0.3">
      <c r="A180" s="55"/>
    </row>
    <row r="181" spans="1:1" x14ac:dyDescent="0.3">
      <c r="A181" s="57"/>
    </row>
    <row r="182" spans="1:1" x14ac:dyDescent="0.3">
      <c r="A182" s="55"/>
    </row>
    <row r="183" spans="1:1" x14ac:dyDescent="0.3">
      <c r="A183" s="57"/>
    </row>
    <row r="184" spans="1:1" x14ac:dyDescent="0.3">
      <c r="A184" s="55"/>
    </row>
    <row r="185" spans="1:1" x14ac:dyDescent="0.3">
      <c r="A185" s="57"/>
    </row>
    <row r="186" spans="1:1" x14ac:dyDescent="0.3">
      <c r="A186" s="55"/>
    </row>
    <row r="187" spans="1:1" x14ac:dyDescent="0.3">
      <c r="A187" s="57"/>
    </row>
    <row r="188" spans="1:1" x14ac:dyDescent="0.3">
      <c r="A188" s="55"/>
    </row>
    <row r="189" spans="1:1" x14ac:dyDescent="0.3">
      <c r="A189" s="57"/>
    </row>
    <row r="190" spans="1:1" x14ac:dyDescent="0.3">
      <c r="A190" s="55"/>
    </row>
    <row r="191" spans="1:1" x14ac:dyDescent="0.3">
      <c r="A191" s="57"/>
    </row>
    <row r="192" spans="1:1" x14ac:dyDescent="0.3">
      <c r="A192" s="55"/>
    </row>
    <row r="193" spans="1:1" x14ac:dyDescent="0.3">
      <c r="A193" s="57"/>
    </row>
    <row r="194" spans="1:1" x14ac:dyDescent="0.3">
      <c r="A194" s="55"/>
    </row>
    <row r="195" spans="1:1" x14ac:dyDescent="0.3">
      <c r="A195" s="57"/>
    </row>
    <row r="196" spans="1:1" x14ac:dyDescent="0.3">
      <c r="A196" s="55"/>
    </row>
    <row r="197" spans="1:1" x14ac:dyDescent="0.3">
      <c r="A197" s="57"/>
    </row>
    <row r="198" spans="1:1" x14ac:dyDescent="0.3">
      <c r="A198" s="55"/>
    </row>
    <row r="199" spans="1:1" x14ac:dyDescent="0.3">
      <c r="A199" s="57"/>
    </row>
    <row r="200" spans="1:1" x14ac:dyDescent="0.3">
      <c r="A200" s="55"/>
    </row>
    <row r="201" spans="1:1" x14ac:dyDescent="0.3">
      <c r="A201" s="57"/>
    </row>
    <row r="202" spans="1:1" x14ac:dyDescent="0.3">
      <c r="A202" s="55"/>
    </row>
    <row r="203" spans="1:1" x14ac:dyDescent="0.3">
      <c r="A203" s="57"/>
    </row>
    <row r="204" spans="1:1" x14ac:dyDescent="0.3">
      <c r="A204" s="55"/>
    </row>
    <row r="205" spans="1:1" x14ac:dyDescent="0.3">
      <c r="A205" s="57"/>
    </row>
    <row r="206" spans="1:1" x14ac:dyDescent="0.3">
      <c r="A206" s="55"/>
    </row>
    <row r="207" spans="1:1" x14ac:dyDescent="0.3">
      <c r="A207" s="57"/>
    </row>
    <row r="208" spans="1:1" x14ac:dyDescent="0.3">
      <c r="A208" s="55"/>
    </row>
    <row r="209" spans="1:1" x14ac:dyDescent="0.3">
      <c r="A209" s="57"/>
    </row>
    <row r="210" spans="1:1" x14ac:dyDescent="0.3">
      <c r="A210" s="55"/>
    </row>
    <row r="211" spans="1:1" x14ac:dyDescent="0.3">
      <c r="A211" s="57"/>
    </row>
    <row r="212" spans="1:1" x14ac:dyDescent="0.3">
      <c r="A212" s="55"/>
    </row>
    <row r="213" spans="1:1" x14ac:dyDescent="0.3">
      <c r="A213" s="57"/>
    </row>
    <row r="214" spans="1:1" x14ac:dyDescent="0.3">
      <c r="A214" s="55"/>
    </row>
    <row r="215" spans="1:1" x14ac:dyDescent="0.3">
      <c r="A215" s="57"/>
    </row>
    <row r="216" spans="1:1" x14ac:dyDescent="0.3">
      <c r="A216" s="55"/>
    </row>
    <row r="217" spans="1:1" x14ac:dyDescent="0.3">
      <c r="A217" s="57"/>
    </row>
    <row r="218" spans="1:1" x14ac:dyDescent="0.3">
      <c r="A218" s="55"/>
    </row>
    <row r="219" spans="1:1" x14ac:dyDescent="0.3">
      <c r="A219" s="57"/>
    </row>
    <row r="220" spans="1:1" x14ac:dyDescent="0.3">
      <c r="A220" s="55"/>
    </row>
    <row r="221" spans="1:1" x14ac:dyDescent="0.3">
      <c r="A221" s="57"/>
    </row>
    <row r="222" spans="1:1" x14ac:dyDescent="0.3">
      <c r="A222" s="56"/>
    </row>
    <row r="223" spans="1:1" x14ac:dyDescent="0.3">
      <c r="A223" s="57"/>
    </row>
    <row r="224" spans="1:1" x14ac:dyDescent="0.3">
      <c r="A224" s="55"/>
    </row>
    <row r="225" spans="1:1" x14ac:dyDescent="0.3">
      <c r="A225" s="57"/>
    </row>
    <row r="226" spans="1:1" x14ac:dyDescent="0.3">
      <c r="A226" s="55"/>
    </row>
    <row r="227" spans="1:1" x14ac:dyDescent="0.3">
      <c r="A227" s="57"/>
    </row>
    <row r="228" spans="1:1" x14ac:dyDescent="0.3">
      <c r="A228" s="55"/>
    </row>
    <row r="229" spans="1:1" x14ac:dyDescent="0.3">
      <c r="A229" s="57"/>
    </row>
    <row r="230" spans="1:1" x14ac:dyDescent="0.3">
      <c r="A230" s="56"/>
    </row>
    <row r="231" spans="1:1" x14ac:dyDescent="0.3">
      <c r="A231" s="57"/>
    </row>
    <row r="232" spans="1:1" x14ac:dyDescent="0.3">
      <c r="A232" s="56"/>
    </row>
    <row r="233" spans="1:1" x14ac:dyDescent="0.3">
      <c r="A233" s="58"/>
    </row>
    <row r="234" spans="1:1" x14ac:dyDescent="0.3">
      <c r="A234" s="56"/>
    </row>
    <row r="235" spans="1:1" x14ac:dyDescent="0.3">
      <c r="A235" s="57"/>
    </row>
    <row r="236" spans="1:1" x14ac:dyDescent="0.3">
      <c r="A236" s="56"/>
    </row>
    <row r="237" spans="1:1" x14ac:dyDescent="0.3">
      <c r="A237" s="57"/>
    </row>
    <row r="238" spans="1:1" x14ac:dyDescent="0.3">
      <c r="A238" s="56"/>
    </row>
    <row r="239" spans="1:1" x14ac:dyDescent="0.3">
      <c r="A239" s="57"/>
    </row>
    <row r="240" spans="1:1" x14ac:dyDescent="0.3">
      <c r="A240" s="55"/>
    </row>
    <row r="241" spans="1:1" x14ac:dyDescent="0.3">
      <c r="A241" s="57"/>
    </row>
    <row r="242" spans="1:1" x14ac:dyDescent="0.3">
      <c r="A242" s="55"/>
    </row>
    <row r="243" spans="1:1" x14ac:dyDescent="0.3">
      <c r="A243" s="57"/>
    </row>
    <row r="244" spans="1:1" x14ac:dyDescent="0.3">
      <c r="A244" s="55"/>
    </row>
    <row r="245" spans="1:1" x14ac:dyDescent="0.3">
      <c r="A245" s="57"/>
    </row>
    <row r="246" spans="1:1" x14ac:dyDescent="0.3">
      <c r="A246" s="55"/>
    </row>
  </sheetData>
  <mergeCells count="4">
    <mergeCell ref="X143:X148"/>
    <mergeCell ref="D8:E8"/>
    <mergeCell ref="D9:E9"/>
    <mergeCell ref="C18:E18"/>
  </mergeCells>
  <phoneticPr fontId="5" type="noConversion"/>
  <conditionalFormatting sqref="B10">
    <cfRule type="expression" dxfId="16" priority="1">
      <formula>$B$9&lt;$A$16</formula>
    </cfRule>
    <cfRule type="expression" dxfId="15" priority="2">
      <formula>$B$9&gt;$A$16</formula>
    </cfRule>
  </conditionalFormatting>
  <dataValidations count="1">
    <dataValidation type="list" allowBlank="1" showErrorMessage="1" promptTitle="Выбрать из списка" prompt=" " sqref="B1" xr:uid="{00000000-0002-0000-0100-000000000000}">
      <formula1>$K$54:$K$699</formula1>
    </dataValidation>
  </dataValidations>
  <pageMargins left="0.7" right="0.7" top="0.75" bottom="0.75" header="0.3" footer="0.3"/>
  <pageSetup paperSize="9" orientation="portrait" r:id="rId1"/>
  <customProperties>
    <customPr name="LastActive" r:id="rId2"/>
  </customProperties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Save_Exit">
                <anchor moveWithCells="1" sizeWithCells="1">
                  <from>
                    <xdr:col>1</xdr:col>
                    <xdr:colOff>22860</xdr:colOff>
                    <xdr:row>17</xdr:row>
                    <xdr:rowOff>22860</xdr:rowOff>
                  </from>
                  <to>
                    <xdr:col>1</xdr:col>
                    <xdr:colOff>2194560</xdr:colOff>
                    <xdr:row>18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Save">
                <anchor moveWithCells="1" sizeWithCells="1">
                  <from>
                    <xdr:col>1</xdr:col>
                    <xdr:colOff>22860</xdr:colOff>
                    <xdr:row>15</xdr:row>
                    <xdr:rowOff>7620</xdr:rowOff>
                  </from>
                  <to>
                    <xdr:col>1</xdr:col>
                    <xdr:colOff>2194560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7" name="Button 6">
              <controlPr defaultSize="0" print="0" autoFill="0" autoPict="0" macro="[0]!Save_Print_Exit">
                <anchor moveWithCells="1" sizeWithCells="1">
                  <from>
                    <xdr:col>1</xdr:col>
                    <xdr:colOff>38100</xdr:colOff>
                    <xdr:row>19</xdr:row>
                    <xdr:rowOff>7620</xdr:rowOff>
                  </from>
                  <to>
                    <xdr:col>1</xdr:col>
                    <xdr:colOff>2194560</xdr:colOff>
                    <xdr:row>21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8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Протокол</vt:lpstr>
      <vt:lpstr>Данные</vt:lpstr>
    </vt:vector>
  </TitlesOfParts>
  <Company>diakov.net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ВагановЮ</dc:creator>
  <cp:lastModifiedBy>Александр Стариков</cp:lastModifiedBy>
  <cp:lastPrinted>2025-10-19T12:25:33Z</cp:lastPrinted>
  <dcterms:created xsi:type="dcterms:W3CDTF">2015-01-22T18:16:29Z</dcterms:created>
  <dcterms:modified xsi:type="dcterms:W3CDTF">2025-10-19T12:26:50Z</dcterms:modified>
</cp:coreProperties>
</file>