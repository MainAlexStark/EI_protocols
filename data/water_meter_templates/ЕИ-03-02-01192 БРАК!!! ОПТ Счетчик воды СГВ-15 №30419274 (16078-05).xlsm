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E7E57ED6-E399-42A5-AD63-981004E79B73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F29" i="2"/>
  <c r="AP29" i="2" s="1"/>
  <c r="AF30" i="2"/>
  <c r="AP30" i="2" s="1"/>
  <c r="AP31" i="2"/>
  <c r="AF31" i="2"/>
  <c r="A9" i="2"/>
  <c r="A35" i="2"/>
  <c r="A10" i="2"/>
  <c r="V55" i="2"/>
  <c r="A17" i="3"/>
  <c r="BB55" i="2"/>
</calcChain>
</file>

<file path=xl/sharedStrings.xml><?xml version="1.0" encoding="utf-8"?>
<sst xmlns="http://schemas.openxmlformats.org/spreadsheetml/2006/main" count="385" uniqueCount="218">
  <si>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</si>
  <si>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</si>
  <si>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</si>
  <si>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</si>
  <si>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</si>
  <si>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</si>
  <si>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</si>
  <si>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</si>
  <si>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</si>
  <si>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</si>
  <si>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</si>
  <si>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</si>
  <si>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</si>
  <si>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</si>
  <si>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</si>
  <si>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</si>
  <si>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</si>
  <si>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</si>
  <si>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</si>
  <si>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</si>
  <si>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</si>
  <si>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</si>
  <si>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</si>
  <si>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</si>
  <si>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</si>
  <si>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</si>
  <si>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</si>
  <si>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</si>
  <si>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</si>
  <si>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</si>
  <si>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</si>
  <si>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</si>
  <si>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</si>
  <si>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</si>
  <si>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</si>
  <si>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</si>
  <si>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</si>
  <si>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</si>
  <si>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</si>
  <si>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</si>
  <si>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</si>
  <si>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</si>
  <si>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</si>
  <si>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</si>
  <si>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</si>
  <si>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</si>
  <si>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</si>
  <si>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</si>
  <si>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</si>
  <si>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</si>
  <si>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</si>
  <si>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</si>
  <si>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</si>
  <si>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</si>
  <si>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</si>
  <si>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</si>
  <si>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</si>
  <si>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</si>
  <si>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</si>
  <si>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</si>
  <si>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</si>
  <si>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</si>
  <si>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</si>
  <si>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</si>
  <si>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t пов-й жидкости в конце поверки,  °С:</t>
  </si>
  <si>
    <t>t пов-й жидкости в начале поверки, °С:</t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</si>
  <si>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</si>
  <si>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</si>
  <si>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</si>
  <si>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</si>
  <si>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</si>
  <si>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</si>
  <si>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</si>
  <si>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</si>
  <si>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</si>
  <si>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</si>
  <si>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</si>
  <si>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</si>
  <si>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</si>
  <si>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</si>
  <si>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</si>
  <si>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</si>
  <si>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</si>
  <si>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</si>
  <si>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</si>
  <si>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</si>
  <si>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</si>
  <si>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</si>
  <si>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</si>
  <si>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</si>
  <si>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</si>
  <si>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</si>
  <si>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</si>
  <si>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</si>
  <si>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</si>
  <si>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</si>
  <si>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</si>
  <si>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</si>
  <si>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</si>
  <si>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</si>
  <si>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</si>
  <si>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</si>
  <si>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</si>
  <si>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</si>
  <si>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</si>
  <si>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</si>
  <si>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</si>
  <si>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</si>
  <si>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</si>
  <si>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</si>
  <si>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</si>
  <si>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</si>
  <si>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</si>
  <si>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</si>
  <si>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</si>
  <si>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</si>
  <si>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</si>
  <si>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</si>
  <si>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</si>
  <si>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</si>
  <si>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</si>
  <si>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</si>
  <si>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</si>
  <si>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</si>
  <si>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</si>
  <si>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</si>
  <si>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</si>
  <si>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</si>
  <si>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</si>
  <si>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</si>
  <si>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</si>
  <si>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</si>
  <si>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</si>
  <si>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</si>
  <si>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</si>
  <si>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</si>
  <si>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</si>
  <si>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</si>
  <si>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</si>
  <si>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</si>
  <si>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</si>
  <si>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</si>
  <si>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</si>
  <si>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</si>
  <si>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</si>
  <si>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</si>
  <si>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</si>
  <si>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</si>
  <si>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</si>
  <si>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</si>
  <si>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</si>
  <si>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</si>
  <si>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</si>
  <si>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</si>
  <si>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</si>
  <si>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</si>
  <si>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</si>
  <si>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</si>
  <si>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</si>
  <si>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</si>
  <si>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</si>
  <si>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</si>
  <si>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</si>
  <si>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</si>
  <si>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</si>
  <si>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</si>
  <si>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</si>
  <si>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</si>
  <si>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</si>
  <si>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</si>
  <si>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</si>
  <si>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</si>
  <si>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</si>
  <si>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</si>
  <si>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</si>
  <si>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</si>
  <si>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</si>
  <si>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</si>
  <si>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</si>
  <si>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</si>
  <si>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</si>
  <si>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</si>
  <si>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</si>
  <si>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</si>
  <si>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</si>
  <si>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</si>
  <si>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</si>
  <si>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</si>
  <si>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</si>
  <si>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</si>
  <si>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</si>
  <si>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</si>
  <si>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</si>
  <si>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</si>
  <si>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</si>
  <si>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</si>
  <si>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</si>
  <si>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</si>
  <si>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</si>
  <si>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</si>
  <si>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</si>
  <si>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</si>
  <si>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</si>
  <si>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</si>
  <si>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</si>
  <si>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</si>
  <si>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</si>
  <si>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</si>
  <si>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</si>
  <si>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</si>
  <si>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</si>
  <si>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</si>
  <si>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ЗАТО Первомайский, ул. Советская, 4-36</t>
  </si>
  <si>
    <t>01192</t>
  </si>
  <si>
    <t>30419274</t>
  </si>
  <si>
    <t>272,701</t>
  </si>
  <si>
    <t>2. Опробование (2.7.2): не соответствует. Не исправен счетный механизм</t>
  </si>
  <si>
    <t>На основании результатов поверки СИ не соответствует установленным метрологическим и техническим требованиям и непригодно к применению.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</si>
</sst>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38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5" applyNumberFormat="0" applyAlignment="0" applyProtection="0"/>
  </cellStyleXfs>
  <cellXfs count="12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15" fillId="4" borderId="19" xfId="0" applyFont="1" applyFill="1" applyBorder="1" applyAlignment="1">
      <alignment horizontal="left"/>
    </xf>
    <xf numFmtId="0" fontId="29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6" fillId="0" borderId="0" xfId="0" applyFont="1"/>
    <xf numFmtId="0" fontId="36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1" fillId="0" borderId="0" xfId="0" applyFont="1" applyAlignment="1">
      <alignment horizontal="center"/>
    </xf>
    <xf numFmtId="0" fontId="26" fillId="0" borderId="0" xfId="0" applyFont="1" applyBorder="1" applyAlignment="1">
      <alignment horizontal="center" vertical="center"/>
    </xf>
    <xf numFmtId="0" fontId="32" fillId="0" borderId="0" xfId="0" applyFont="1" applyAlignment="1"/>
    <xf numFmtId="0" fontId="23" fillId="0" borderId="0" xfId="0" applyFont="1" applyBorder="1"/>
    <xf numFmtId="0" fontId="27" fillId="0" borderId="0" xfId="0" applyFont="1" applyBorder="1" applyAlignment="1">
      <alignment vertical="center"/>
    </xf>
    <xf numFmtId="0" fontId="27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31" fillId="0" borderId="16" xfId="0" applyFont="1" applyBorder="1" applyAlignment="1">
      <alignment horizontal="left" vertical="center"/>
    </xf>
    <xf numFmtId="0" fontId="37" fillId="0" borderId="17" xfId="0" applyFont="1" applyBorder="1"/>
    <xf numFmtId="0" fontId="37" fillId="0" borderId="18" xfId="0" applyFont="1" applyBorder="1"/>
    <xf numFmtId="0" fontId="31" fillId="0" borderId="16" xfId="0" applyFont="1" applyBorder="1" applyAlignment="1">
      <alignment vertical="center"/>
    </xf>
    <xf numFmtId="0" fontId="37" fillId="0" borderId="17" xfId="0" applyFont="1" applyBorder="1" applyAlignment="1"/>
    <xf numFmtId="0" fontId="37" fillId="0" borderId="18" xfId="0" applyFont="1" applyBorder="1" applyAlignment="1"/>
    <xf numFmtId="0" fontId="23" fillId="0" borderId="14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8" fillId="0" borderId="14" xfId="0" applyFont="1" applyBorder="1" applyAlignment="1">
      <alignment horizontal="center" wrapText="1"/>
    </xf>
    <xf numFmtId="0" fontId="31" fillId="0" borderId="16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1" fillId="0" borderId="16" xfId="0" applyFont="1" applyBorder="1" applyAlignment="1">
      <alignment horizontal="center" wrapText="1"/>
    </xf>
    <xf numFmtId="165" fontId="31" fillId="0" borderId="16" xfId="0" applyNumberFormat="1" applyFont="1" applyBorder="1" applyAlignment="1">
      <alignment horizontal="center"/>
    </xf>
    <xf numFmtId="165" fontId="37" fillId="0" borderId="17" xfId="0" applyNumberFormat="1" applyFont="1" applyBorder="1"/>
    <xf numFmtId="165" fontId="37" fillId="0" borderId="18" xfId="0" applyNumberFormat="1" applyFont="1" applyBorder="1"/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63"/>
  <sheetViews>
    <sheetView tabSelected="1" view="pageLayout" zoomScale="112" zoomScaleNormal="100" zoomScaleSheetLayoutView="200" zoomScalePageLayoutView="112" workbookViewId="0">
      <selection activeCell="AP28" sqref="AP28:AV28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86" t="s">
        <v>82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43"/>
      <c r="BX1" s="43"/>
      <c r="BY1" s="80"/>
      <c r="BZ1" s="80"/>
      <c r="CA1" s="80"/>
      <c r="CB1" s="80"/>
    </row>
    <row r="2" spans="1:80" ht="18" customHeight="1" x14ac:dyDescent="0.3">
      <c r="A2" s="86" t="s">
        <v>83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43"/>
      <c r="BX2" s="43"/>
    </row>
    <row r="3" spans="1:80" ht="18.75" customHeight="1" x14ac:dyDescent="0.3">
      <c r="A3" s="87" t="s">
        <v>85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87"/>
      <c r="BM3" s="87"/>
      <c r="BN3" s="87"/>
      <c r="BO3" s="87"/>
      <c r="BP3" s="87"/>
      <c r="BQ3" s="87"/>
      <c r="BR3" s="87"/>
      <c r="BS3" s="87"/>
      <c r="BT3" s="87"/>
      <c r="BU3" s="87"/>
      <c r="BV3" s="87"/>
      <c r="BW3" s="43"/>
      <c r="BX3" s="43"/>
    </row>
    <row r="4" spans="1:80" x14ac:dyDescent="0.3">
      <c r="A4" s="87" t="s">
        <v>84</v>
      </c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87"/>
      <c r="BM4" s="87"/>
      <c r="BN4" s="87"/>
      <c r="BO4" s="87"/>
      <c r="BP4" s="87"/>
      <c r="BQ4" s="87"/>
      <c r="BR4" s="87"/>
      <c r="BS4" s="87"/>
      <c r="BT4" s="87"/>
      <c r="BU4" s="87"/>
      <c r="BV4" s="87"/>
      <c r="BW4" s="43"/>
      <c r="BX4" s="43"/>
    </row>
    <row r="5" spans="1:80" ht="27" customHeight="1" x14ac:dyDescent="0.35">
      <c r="A5" s="85" t="str">
        <f>CONCATENATE("ПРОТОКОЛ №","ЕИ-04/",Данные!B9,"-",Данные!B2)</f>
        <v>ПРОТОКОЛ №ЕИ-04/02-01192</v>
      </c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43"/>
      <c r="BX5" s="43"/>
    </row>
    <row r="6" spans="1:80" ht="15.75" customHeight="1" x14ac:dyDescent="0.3">
      <c r="A6" s="10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2013, заводской № 30419274</v>
      </c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104"/>
      <c r="AM6" s="104"/>
      <c r="AN6" s="104"/>
      <c r="AO6" s="104"/>
      <c r="AP6" s="104"/>
      <c r="AQ6" s="104"/>
      <c r="AR6" s="104"/>
      <c r="AS6" s="104"/>
      <c r="AT6" s="104"/>
      <c r="AU6" s="104"/>
      <c r="AV6" s="104"/>
      <c r="AW6" s="104"/>
      <c r="AX6" s="104"/>
      <c r="AY6" s="104"/>
      <c r="AZ6" s="104"/>
      <c r="BA6" s="104"/>
      <c r="BB6" s="104"/>
      <c r="BC6" s="104"/>
      <c r="BD6" s="104"/>
      <c r="BE6" s="104"/>
      <c r="BF6" s="104"/>
      <c r="BG6" s="104"/>
      <c r="BH6" s="104"/>
      <c r="BI6" s="104"/>
      <c r="BJ6" s="104"/>
      <c r="BK6" s="104"/>
      <c r="BL6" s="104"/>
      <c r="BM6" s="104"/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43"/>
    </row>
    <row r="7" spans="1:80" s="60" customFormat="1" ht="15.75" customHeight="1" x14ac:dyDescent="0.3">
      <c r="A7" s="104"/>
      <c r="B7" s="104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104"/>
      <c r="BH7" s="104"/>
      <c r="BI7" s="104"/>
      <c r="BJ7" s="104"/>
      <c r="BK7" s="104"/>
      <c r="BL7" s="104"/>
      <c r="BM7" s="104"/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16078-05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ЗАТО Первомайский, ул. Советская, 4-36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90" t="s">
        <v>23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24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25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97" t="s">
        <v>73</v>
      </c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9"/>
      <c r="AF26" s="106" t="s">
        <v>69</v>
      </c>
      <c r="AG26" s="98"/>
      <c r="AH26" s="98"/>
      <c r="AI26" s="98"/>
      <c r="AJ26" s="98"/>
      <c r="AK26" s="98"/>
      <c r="AL26" s="98"/>
      <c r="AM26" s="98"/>
      <c r="AN26" s="98"/>
      <c r="AO26" s="99"/>
      <c r="AP26" s="106" t="s">
        <v>70</v>
      </c>
      <c r="AQ26" s="98"/>
      <c r="AR26" s="98"/>
      <c r="AS26" s="98"/>
      <c r="AT26" s="98"/>
      <c r="AU26" s="98"/>
      <c r="AV26" s="9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0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/>
      <c r="X27" s="101"/>
      <c r="Y27" s="101"/>
      <c r="Z27" s="101"/>
      <c r="AA27" s="101"/>
      <c r="AB27" s="101"/>
      <c r="AC27" s="101"/>
      <c r="AD27" s="101"/>
      <c r="AE27" s="102"/>
      <c r="AF27" s="100"/>
      <c r="AG27" s="101"/>
      <c r="AH27" s="101"/>
      <c r="AI27" s="101"/>
      <c r="AJ27" s="101"/>
      <c r="AK27" s="101"/>
      <c r="AL27" s="101"/>
      <c r="AM27" s="101"/>
      <c r="AN27" s="101"/>
      <c r="AO27" s="102"/>
      <c r="AP27" s="100"/>
      <c r="AQ27" s="101"/>
      <c r="AR27" s="101"/>
      <c r="AS27" s="101"/>
      <c r="AT27" s="101"/>
      <c r="AU27" s="101"/>
      <c r="AV27" s="10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94" t="s">
        <v>66</v>
      </c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6"/>
      <c r="AF28" s="114">
        <f>Данные!B11</f>
        <v>24.5</v>
      </c>
      <c r="AG28" s="92"/>
      <c r="AH28" s="92"/>
      <c r="AI28" s="92"/>
      <c r="AJ28" s="92"/>
      <c r="AK28" s="92"/>
      <c r="AL28" s="92"/>
      <c r="AM28" s="92"/>
      <c r="AN28" s="92"/>
      <c r="AO28" s="93"/>
      <c r="AP28" s="114">
        <f ca="1">AF28+(RANDBETWEEN(-26,53)/10)</f>
        <v>23.9</v>
      </c>
      <c r="AQ28" s="92"/>
      <c r="AR28" s="92"/>
      <c r="AS28" s="92"/>
      <c r="AT28" s="92"/>
      <c r="AU28" s="92"/>
      <c r="AV28" s="93"/>
      <c r="AW28" s="63"/>
      <c r="AX28" s="118" t="s">
        <v>79</v>
      </c>
      <c r="AY28" s="118"/>
      <c r="AZ28" s="118"/>
      <c r="BA28" s="118"/>
      <c r="BB28" s="118"/>
      <c r="BC28" s="118"/>
      <c r="BD28" s="118"/>
      <c r="BE28" s="11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91" t="s">
        <v>67</v>
      </c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3"/>
      <c r="AF29" s="107">
        <f>Данные!B12</f>
        <v>51</v>
      </c>
      <c r="AG29" s="92"/>
      <c r="AH29" s="92"/>
      <c r="AI29" s="92"/>
      <c r="AJ29" s="92"/>
      <c r="AK29" s="92"/>
      <c r="AL29" s="92"/>
      <c r="AM29" s="92"/>
      <c r="AN29" s="92"/>
      <c r="AO29" s="93"/>
      <c r="AP29" s="107">
        <f ca="1">AF29+(RANDBETWEEN(43,97)/10)</f>
        <v>59.9</v>
      </c>
      <c r="AQ29" s="92"/>
      <c r="AR29" s="92"/>
      <c r="AS29" s="92"/>
      <c r="AT29" s="92"/>
      <c r="AU29" s="92"/>
      <c r="AV29" s="93"/>
      <c r="AW29" s="63"/>
      <c r="AX29" s="118" t="s">
        <v>80</v>
      </c>
      <c r="AY29" s="118"/>
      <c r="AZ29" s="118"/>
      <c r="BA29" s="118"/>
      <c r="BB29" s="118"/>
      <c r="BC29" s="118"/>
      <c r="BD29" s="118"/>
      <c r="BE29" s="11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91" t="s">
        <v>68</v>
      </c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3"/>
      <c r="AF30" s="107">
        <f>Данные!B13</f>
        <v>100.2</v>
      </c>
      <c r="AG30" s="92"/>
      <c r="AH30" s="92"/>
      <c r="AI30" s="92"/>
      <c r="AJ30" s="92"/>
      <c r="AK30" s="92"/>
      <c r="AL30" s="92"/>
      <c r="AM30" s="92"/>
      <c r="AN30" s="92"/>
      <c r="AO30" s="93"/>
      <c r="AP30" s="115">
        <f>AF30</f>
        <v>100.2</v>
      </c>
      <c r="AQ30" s="116"/>
      <c r="AR30" s="116"/>
      <c r="AS30" s="116"/>
      <c r="AT30" s="116"/>
      <c r="AU30" s="116"/>
      <c r="AV30" s="117"/>
      <c r="AW30" s="63"/>
      <c r="AX30" s="118" t="s">
        <v>81</v>
      </c>
      <c r="AY30" s="118"/>
      <c r="AZ30" s="118"/>
      <c r="BA30" s="118"/>
      <c r="BB30" s="118"/>
      <c r="BC30" s="118"/>
      <c r="BD30" s="118"/>
      <c r="BE30" s="118"/>
      <c r="BF30" s="11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91" t="s">
        <v>74</v>
      </c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3"/>
      <c r="AF31" s="107">
        <f>Данные!B14</f>
        <v>66</v>
      </c>
      <c r="AG31" s="92"/>
      <c r="AH31" s="92"/>
      <c r="AI31" s="92"/>
      <c r="AJ31" s="92"/>
      <c r="AK31" s="92"/>
      <c r="AL31" s="92"/>
      <c r="AM31" s="92"/>
      <c r="AN31" s="92"/>
      <c r="AO31" s="93"/>
      <c r="AP31" s="107">
        <f>Данные!B15</f>
        <v>66</v>
      </c>
      <c r="AQ31" s="92"/>
      <c r="AR31" s="92"/>
      <c r="AS31" s="92"/>
      <c r="AT31" s="92"/>
      <c r="AU31" s="92"/>
      <c r="AV31" s="93"/>
      <c r="AW31" s="63"/>
      <c r="AX31" s="119" t="s">
        <v>72</v>
      </c>
      <c r="AY31" s="119"/>
      <c r="AZ31" s="119"/>
      <c r="BA31" s="119"/>
      <c r="BB31" s="119"/>
      <c r="BC31" s="119"/>
      <c r="BD31" s="119"/>
      <c r="BE31" s="119"/>
      <c r="BF31" s="119"/>
      <c r="BG31" s="119"/>
      <c r="BH31" s="119"/>
      <c r="BI31" s="119"/>
      <c r="BJ31" s="119"/>
      <c r="BK31" s="119"/>
      <c r="BL31" s="119"/>
      <c r="BM31" s="119"/>
      <c r="BN31" s="119"/>
      <c r="BO31" s="119"/>
      <c r="BP31" s="119"/>
      <c r="BQ31" s="119"/>
      <c r="BR31" s="119"/>
      <c r="BS31" s="119"/>
      <c r="BT31" s="119"/>
      <c r="BU31" s="119"/>
      <c r="BV31" s="119"/>
      <c r="BW31" s="119"/>
      <c r="BX31" s="65"/>
      <c r="BY31" s="65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0" t="s">
        <v>26</v>
      </c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90"/>
      <c r="AH33" s="90"/>
      <c r="AI33" s="90"/>
      <c r="AJ33" s="90"/>
      <c r="AK33" s="90"/>
      <c r="AL33" s="90"/>
      <c r="AM33" s="90"/>
      <c r="AN33" s="90"/>
      <c r="AO33" s="90"/>
      <c r="AP33" s="90"/>
      <c r="AQ33" s="90"/>
      <c r="AR33" s="90"/>
      <c r="AS33" s="90"/>
      <c r="AT33" s="90"/>
      <c r="AU33" s="90"/>
      <c r="AV33" s="90"/>
      <c r="AW33" s="90"/>
      <c r="AX33" s="90"/>
      <c r="AY33" s="90"/>
      <c r="AZ33" s="90"/>
      <c r="BA33" s="90"/>
      <c r="BB33" s="90"/>
      <c r="BC33" s="90"/>
      <c r="BD33" s="90"/>
      <c r="BE33" s="90"/>
      <c r="BF33" s="90"/>
      <c r="BG33" s="90"/>
      <c r="BH33" s="90"/>
      <c r="BI33" s="90"/>
      <c r="BJ33" s="90"/>
      <c r="BK33" s="90"/>
      <c r="BL33" s="90"/>
      <c r="BM33" s="90"/>
      <c r="BN33" s="90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0" t="s">
        <v>27</v>
      </c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  <c r="AA37" s="90"/>
      <c r="AB37" s="90"/>
      <c r="AC37" s="90"/>
      <c r="AD37" s="90"/>
      <c r="AE37" s="90"/>
      <c r="AF37" s="90"/>
      <c r="AG37" s="90"/>
      <c r="AH37" s="90"/>
      <c r="AI37" s="90"/>
      <c r="AJ37" s="90"/>
      <c r="AK37" s="90"/>
      <c r="AL37" s="90"/>
      <c r="AM37" s="90"/>
      <c r="AN37" s="90"/>
      <c r="AO37" s="90"/>
      <c r="AP37" s="90"/>
      <c r="AQ37" s="90"/>
      <c r="AR37" s="90"/>
      <c r="AS37" s="90"/>
      <c r="AT37" s="90"/>
      <c r="AU37" s="90"/>
      <c r="AV37" s="90"/>
      <c r="AW37" s="90"/>
      <c r="AX37" s="90"/>
      <c r="AY37" s="90"/>
      <c r="AZ37" s="90"/>
      <c r="BA37" s="90"/>
      <c r="BB37" s="90"/>
      <c r="BC37" s="90"/>
      <c r="BD37" s="90"/>
      <c r="BE37" s="90"/>
      <c r="BF37" s="90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5"/>
      <c r="BW37" s="43"/>
      <c r="BX37" s="43"/>
    </row>
    <row r="38" spans="1:76" ht="4.5" customHeight="1" x14ac:dyDescent="0.3">
      <c r="A38" s="88" t="str">
        <f>INDEX(Данные!$K$54:$W$99,Данные!K52,2)</f>
        <v>«Рекомендация. ГСИ. Счетчики воды. Методика поверки» МИ 1592-2015</v>
      </c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0" t="s">
        <v>28</v>
      </c>
      <c r="B41" s="90"/>
      <c r="C41" s="90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  <c r="AK41" s="90"/>
      <c r="AL41" s="90"/>
      <c r="AM41" s="90"/>
      <c r="AN41" s="90"/>
      <c r="AO41" s="90"/>
      <c r="AP41" s="90"/>
      <c r="AQ41" s="90"/>
      <c r="AR41" s="90"/>
      <c r="AS41" s="90"/>
      <c r="AT41" s="90"/>
      <c r="AU41" s="90"/>
      <c r="AV41" s="90"/>
      <c r="AW41" s="90"/>
      <c r="AX41" s="90"/>
      <c r="AY41" s="90"/>
      <c r="AZ41" s="90"/>
      <c r="BA41" s="90"/>
      <c r="BB41" s="90"/>
      <c r="BC41" s="90"/>
      <c r="BD41" s="90"/>
      <c r="BE41" s="90"/>
      <c r="BF41" s="90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86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216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/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/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s="60" customFormat="1" ht="12" customHeight="1" x14ac:dyDescent="0.3">
      <c r="A48" s="43"/>
      <c r="B48" s="82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83"/>
      <c r="BR48" s="83"/>
      <c r="BS48" s="83"/>
      <c r="BT48" s="83"/>
      <c r="BU48" s="83"/>
      <c r="BV48" s="43"/>
      <c r="BW48" s="43"/>
      <c r="BX48" s="43"/>
    </row>
    <row r="49" spans="1:76" ht="13.5" customHeight="1" x14ac:dyDescent="0.3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</row>
    <row r="50" spans="1:76" ht="13.5" customHeight="1" x14ac:dyDescent="0.3">
      <c r="A50" s="43"/>
      <c r="B50" s="112" t="s">
        <v>3</v>
      </c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  <c r="BL50" s="112"/>
      <c r="BM50" s="112"/>
      <c r="BN50" s="112"/>
      <c r="BO50" s="112"/>
      <c r="BP50" s="112"/>
      <c r="BQ50" s="112"/>
      <c r="BR50" s="112"/>
      <c r="BS50" s="112"/>
      <c r="BT50" s="112"/>
      <c r="BU50" s="43"/>
      <c r="BV50" s="43"/>
      <c r="BW50" s="43"/>
      <c r="BX50" s="43"/>
    </row>
    <row r="51" spans="1:76" ht="13.5" customHeight="1" x14ac:dyDescent="0.3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</row>
    <row r="52" spans="1:76" ht="13.5" customHeight="1" x14ac:dyDescent="0.3">
      <c r="A52" s="109" t="s">
        <v>217</v>
      </c>
      <c r="B52" s="110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43"/>
      <c r="BX52" s="43"/>
    </row>
    <row r="53" spans="1:76" ht="19.5" customHeight="1" x14ac:dyDescent="0.3">
      <c r="A53" s="110"/>
      <c r="B53" s="110"/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  <c r="AZ53" s="110"/>
      <c r="BA53" s="110"/>
      <c r="BB53" s="110"/>
      <c r="BC53" s="110"/>
      <c r="BD53" s="110"/>
      <c r="BE53" s="110"/>
      <c r="BF53" s="110"/>
      <c r="BG53" s="110"/>
      <c r="BH53" s="110"/>
      <c r="BI53" s="110"/>
      <c r="BJ53" s="110"/>
      <c r="BK53" s="110"/>
      <c r="BL53" s="110"/>
      <c r="BM53" s="110"/>
      <c r="BN53" s="110"/>
      <c r="BO53" s="110"/>
      <c r="BP53" s="110"/>
      <c r="BQ53" s="110"/>
      <c r="BR53" s="110"/>
      <c r="BS53" s="110"/>
      <c r="BT53" s="110"/>
      <c r="BU53" s="110"/>
      <c r="BV53" s="110"/>
      <c r="BW53" s="43"/>
      <c r="BX53" s="43"/>
    </row>
    <row r="54" spans="1:76" s="33" customFormat="1" ht="34.5" customHeight="1" x14ac:dyDescent="0.3">
      <c r="A54" s="1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</row>
    <row r="55" spans="1:76" ht="13.5" customHeight="1" x14ac:dyDescent="0.3">
      <c r="A55" s="1" t="s">
        <v>4</v>
      </c>
      <c r="B55" s="43"/>
      <c r="C55" s="43"/>
      <c r="D55" s="43"/>
      <c r="E55" s="43"/>
      <c r="F55" s="43"/>
      <c r="G55" s="43"/>
      <c r="H55" s="43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1"/>
      <c r="V55" s="105" t="str">
        <f>Данные!C9</f>
        <v>Стариков С.В.</v>
      </c>
      <c r="W55" s="105"/>
      <c r="X55" s="105"/>
      <c r="Y55" s="105"/>
      <c r="Z55" s="105"/>
      <c r="AA55" s="105"/>
      <c r="AB55" s="105"/>
      <c r="AC55" s="105"/>
      <c r="AD55" s="105"/>
      <c r="AE55" s="105"/>
      <c r="AF55" s="105"/>
      <c r="AG55" s="105"/>
      <c r="AH55" s="81"/>
      <c r="AI55" s="81"/>
      <c r="AJ55" s="81"/>
      <c r="AK55" s="81"/>
      <c r="AL55" s="81"/>
      <c r="AM55" s="81"/>
      <c r="AN55" s="81"/>
      <c r="AO55" s="81"/>
      <c r="AP55" s="81"/>
      <c r="AQ55" s="1" t="s">
        <v>6</v>
      </c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113">
        <f>Данные!B10</f>
        <v>45929</v>
      </c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  <c r="BN55" s="113"/>
      <c r="BO55" s="113"/>
      <c r="BP55" s="113"/>
      <c r="BQ55" s="113"/>
      <c r="BR55" s="113"/>
      <c r="BS55" s="113"/>
      <c r="BT55" s="113"/>
      <c r="BU55" s="43"/>
      <c r="BV55" s="43"/>
      <c r="BW55" s="43"/>
      <c r="BX55" s="43"/>
    </row>
    <row r="56" spans="1:76" ht="13.5" customHeight="1" x14ac:dyDescent="0.3">
      <c r="A56" s="43"/>
      <c r="B56" s="43"/>
      <c r="C56" s="43"/>
      <c r="D56" s="43"/>
      <c r="E56" s="43"/>
      <c r="F56" s="43"/>
      <c r="G56" s="43"/>
      <c r="H56" s="43"/>
      <c r="I56" s="111" t="s">
        <v>5</v>
      </c>
      <c r="J56" s="111"/>
      <c r="K56" s="111"/>
      <c r="L56" s="111"/>
      <c r="M56" s="111"/>
      <c r="N56" s="111"/>
      <c r="O56" s="111"/>
      <c r="P56" s="43"/>
      <c r="Q56" s="43"/>
      <c r="R56" s="43"/>
      <c r="S56" s="43"/>
      <c r="T56" s="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81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</row>
    <row r="57" spans="1:76" ht="13.5" customHeight="1" x14ac:dyDescent="0.3"/>
    <row r="58" spans="1:76" ht="13.5" customHeight="1" x14ac:dyDescent="0.3">
      <c r="I58" s="2"/>
      <c r="J58" s="2"/>
      <c r="K58" s="2"/>
      <c r="L58" s="2"/>
      <c r="M58" s="2"/>
      <c r="N58" s="2"/>
      <c r="O58" s="1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</row>
    <row r="59" spans="1:76" ht="13.5" customHeight="1" x14ac:dyDescent="0.3">
      <c r="I59" s="2"/>
      <c r="J59" s="2"/>
      <c r="K59" s="2"/>
      <c r="L59" s="2"/>
      <c r="M59" s="2"/>
      <c r="N59" s="2"/>
      <c r="O59" s="2"/>
    </row>
    <row r="60" spans="1:76" ht="13.5" customHeight="1" x14ac:dyDescent="0.3">
      <c r="A60" s="1"/>
    </row>
    <row r="61" spans="1:76" ht="13.5" customHeight="1" x14ac:dyDescent="0.3"/>
    <row r="62" spans="1:76" ht="13.5" customHeight="1" x14ac:dyDescent="0.3"/>
    <row r="63" spans="1:76" ht="13.5" customHeight="1" x14ac:dyDescent="0.3"/>
    <row r="64" spans="1:76" ht="13.5" customHeight="1" x14ac:dyDescent="0.3"/>
    <row r="65" ht="13.5" customHeight="1" x14ac:dyDescent="0.3"/>
    <row r="66" ht="13.5" customHeight="1" x14ac:dyDescent="0.3"/>
    <row r="67" ht="13.5" customHeight="1" x14ac:dyDescent="0.3"/>
    <row r="68" ht="13.5" customHeight="1" x14ac:dyDescent="0.3"/>
    <row r="69" ht="13.5" customHeight="1" x14ac:dyDescent="0.3"/>
    <row r="70" ht="13.5" customHeight="1" x14ac:dyDescent="0.3"/>
    <row r="71" ht="13.5" customHeight="1" x14ac:dyDescent="0.3"/>
    <row r="72" ht="13.5" customHeight="1" x14ac:dyDescent="0.3"/>
    <row r="73" ht="13.5" customHeight="1" x14ac:dyDescent="0.3"/>
    <row r="74" ht="13.5" customHeight="1" x14ac:dyDescent="0.3"/>
    <row r="75" ht="13.5" customHeight="1" x14ac:dyDescent="0.3"/>
    <row r="76" ht="13.5" customHeight="1" x14ac:dyDescent="0.3"/>
    <row r="77" ht="13.5" customHeight="1" x14ac:dyDescent="0.3"/>
    <row r="78" ht="13.5" customHeight="1" x14ac:dyDescent="0.3"/>
    <row r="79" ht="13.5" customHeight="1" x14ac:dyDescent="0.3"/>
    <row r="80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</sheetData>
  <mergeCells count="36">
    <mergeCell ref="AX28:BE28"/>
    <mergeCell ref="AX29:BE29"/>
    <mergeCell ref="AX30:BF30"/>
    <mergeCell ref="AX31:BW31"/>
    <mergeCell ref="AP31:AV31"/>
    <mergeCell ref="AF28:AO28"/>
    <mergeCell ref="AP28:AV28"/>
    <mergeCell ref="AF30:AO30"/>
    <mergeCell ref="AP30:AV30"/>
    <mergeCell ref="AF31:AO31"/>
    <mergeCell ref="X58:AO58"/>
    <mergeCell ref="A52:BV53"/>
    <mergeCell ref="L33:BN33"/>
    <mergeCell ref="D37:BU37"/>
    <mergeCell ref="I56:O56"/>
    <mergeCell ref="B50:BT50"/>
    <mergeCell ref="BB55:BT55"/>
    <mergeCell ref="A6:BW7"/>
    <mergeCell ref="V55:AG55"/>
    <mergeCell ref="A12:BX12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38:BO39"/>
    <mergeCell ref="A41:BV41"/>
    <mergeCell ref="A5:BV5"/>
    <mergeCell ref="A1:BV1"/>
    <mergeCell ref="A2:BV2"/>
    <mergeCell ref="A3:BV3"/>
    <mergeCell ref="A4:BV4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42</v>
      </c>
      <c r="C1" s="13"/>
      <c r="F1" s="71" t="s">
        <v>47</v>
      </c>
      <c r="G1" s="72" t="s">
        <v>46</v>
      </c>
      <c r="H1" s="71"/>
    </row>
    <row r="2" spans="1:21" ht="17.25" customHeight="1" x14ac:dyDescent="0.35">
      <c r="A2" s="9" t="s">
        <v>7</v>
      </c>
      <c r="B2" s="31" t="s">
        <v>213</v>
      </c>
      <c r="C2" s="13"/>
      <c r="F2" s="72" t="s">
        <v>49</v>
      </c>
      <c r="G2" s="72" t="s">
        <v>48</v>
      </c>
      <c r="H2" s="71"/>
    </row>
    <row r="3" spans="1:21" s="60" customFormat="1" ht="17.25" customHeight="1" x14ac:dyDescent="0.35">
      <c r="A3" s="9" t="s">
        <v>63</v>
      </c>
      <c r="B3" s="15">
        <v>2013</v>
      </c>
      <c r="C3" s="13"/>
      <c r="F3" s="72"/>
      <c r="G3" s="72"/>
      <c r="H3" s="71"/>
      <c r="L3" s="25"/>
      <c r="T3" s="6"/>
      <c r="U3" s="6"/>
    </row>
    <row r="4" spans="1:21" ht="21.75" customHeight="1" x14ac:dyDescent="0.35">
      <c r="A4" s="9" t="s">
        <v>8</v>
      </c>
      <c r="B4" s="31" t="s">
        <v>214</v>
      </c>
      <c r="C4" s="13"/>
      <c r="F4" s="72" t="s">
        <v>51</v>
      </c>
      <c r="G4" s="72" t="s">
        <v>50</v>
      </c>
      <c r="H4" s="71" t="s">
        <v>52</v>
      </c>
    </row>
    <row r="5" spans="1:21" s="60" customFormat="1" ht="57.75" customHeight="1" x14ac:dyDescent="0.35">
      <c r="A5" s="77" t="s">
        <v>195</v>
      </c>
      <c r="B5" s="31" t="s">
        <v>209</v>
      </c>
      <c r="C5" s="13"/>
      <c r="F5" s="72"/>
      <c r="G5" s="72"/>
      <c r="H5" s="71"/>
      <c r="L5" s="25"/>
      <c r="T5" s="6"/>
      <c r="U5" s="6"/>
    </row>
    <row r="6" spans="1:21" s="60" customFormat="1" ht="21.75" customHeight="1" x14ac:dyDescent="0.35">
      <c r="A6" s="9" t="s">
        <v>75</v>
      </c>
      <c r="B6" s="31" t="s">
        <v>215</v>
      </c>
      <c r="C6" s="13"/>
      <c r="F6" s="72"/>
      <c r="G6" s="72"/>
      <c r="H6" s="71"/>
      <c r="L6" s="25"/>
      <c r="T6" s="6"/>
      <c r="U6" s="6"/>
    </row>
    <row r="7" spans="1:21" ht="20.25" customHeight="1" x14ac:dyDescent="0.35">
      <c r="A7" s="9" t="s">
        <v>35</v>
      </c>
      <c r="B7" s="31" t="s">
        <v>211</v>
      </c>
      <c r="C7" s="13"/>
      <c r="D7" s="13"/>
      <c r="E7" s="13"/>
      <c r="F7" s="71" t="s">
        <v>54</v>
      </c>
      <c r="G7" s="71" t="s">
        <v>53</v>
      </c>
      <c r="H7" s="71" t="s">
        <v>56</v>
      </c>
    </row>
    <row r="8" spans="1:21" ht="20.25" customHeight="1" x14ac:dyDescent="0.35">
      <c r="A8" s="9" t="s">
        <v>34</v>
      </c>
      <c r="B8" s="31" t="s">
        <v>212</v>
      </c>
      <c r="C8" s="13"/>
      <c r="D8" s="121" t="s">
        <v>36</v>
      </c>
      <c r="E8" s="121"/>
      <c r="F8" s="71" t="s">
        <v>55</v>
      </c>
      <c r="G8" s="71" t="s">
        <v>45</v>
      </c>
      <c r="H8" s="71" t="s">
        <v>57</v>
      </c>
    </row>
    <row r="9" spans="1:21" ht="18.75" customHeight="1" x14ac:dyDescent="0.35">
      <c r="A9" s="9" t="s">
        <v>22</v>
      </c>
      <c r="B9" s="66" t="s">
        <v>207</v>
      </c>
      <c r="C9" s="13" t="s">
        <v>208</v>
      </c>
      <c r="D9" s="121" t="s">
        <v>89</v>
      </c>
      <c r="E9" s="121"/>
      <c r="F9" s="71" t="s">
        <v>59</v>
      </c>
      <c r="G9" s="72" t="s">
        <v>60</v>
      </c>
      <c r="H9" s="71" t="s">
        <v>58</v>
      </c>
    </row>
    <row r="10" spans="1:21" ht="18" x14ac:dyDescent="0.35">
      <c r="A10" s="10" t="s">
        <v>9</v>
      </c>
      <c r="B10" s="32">
        <v>45929</v>
      </c>
      <c r="C10" s="13"/>
      <c r="D10" s="13"/>
      <c r="E10" s="13"/>
    </row>
    <row r="11" spans="1:21" ht="18" x14ac:dyDescent="0.35">
      <c r="A11" s="11" t="s">
        <v>10</v>
      </c>
      <c r="B11" s="75">
        <v>24.5</v>
      </c>
      <c r="C11" s="30" t="s">
        <v>33</v>
      </c>
      <c r="D11" s="27"/>
      <c r="E11" s="13"/>
    </row>
    <row r="12" spans="1:21" ht="18" x14ac:dyDescent="0.35">
      <c r="A12" s="11" t="s">
        <v>11</v>
      </c>
      <c r="B12" s="75">
        <v>51</v>
      </c>
      <c r="C12" s="30" t="s">
        <v>43</v>
      </c>
      <c r="D12" s="27"/>
      <c r="E12" s="13"/>
    </row>
    <row r="13" spans="1:21" ht="18" x14ac:dyDescent="0.35">
      <c r="A13" s="11" t="s">
        <v>71</v>
      </c>
      <c r="B13" s="75">
        <v>100.2</v>
      </c>
      <c r="C13" s="27" t="s">
        <v>44</v>
      </c>
      <c r="D13" s="27"/>
      <c r="E13" s="13"/>
    </row>
    <row r="14" spans="1:21" ht="18" x14ac:dyDescent="0.35">
      <c r="A14" s="11" t="s">
        <v>65</v>
      </c>
      <c r="B14" s="16">
        <v>66</v>
      </c>
      <c r="C14" s="30" t="s">
        <v>37</v>
      </c>
      <c r="D14" s="27"/>
      <c r="E14" s="13"/>
    </row>
    <row r="15" spans="1:21" s="60" customFormat="1" ht="18.600000000000001" thickBot="1" x14ac:dyDescent="0.4">
      <c r="A15" s="61" t="s">
        <v>64</v>
      </c>
      <c r="B15" s="64">
        <v>66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21</v>
      </c>
      <c r="B16" s="24"/>
      <c r="C16" s="13"/>
      <c r="D16" s="13"/>
      <c r="E16" s="13"/>
    </row>
    <row r="17" spans="1:24" ht="21" customHeight="1" x14ac:dyDescent="0.4">
      <c r="A17" s="18">
        <f ca="1">TODAY()</f>
        <v>45930</v>
      </c>
      <c r="B17" s="20"/>
      <c r="C17" s="13"/>
      <c r="D17" s="13"/>
      <c r="E17" s="13"/>
    </row>
    <row r="18" spans="1:24" ht="21" x14ac:dyDescent="0.4">
      <c r="B18" s="21"/>
      <c r="C18" s="122"/>
      <c r="D18" s="122"/>
      <c r="E18" s="12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2</v>
      </c>
      <c r="L52" s="26">
        <v>42176</v>
      </c>
      <c r="W52" s="52"/>
      <c r="X52" s="7"/>
    </row>
    <row r="53" spans="11:24" s="60" customFormat="1" x14ac:dyDescent="0.3">
      <c r="K53" s="46" t="s">
        <v>17</v>
      </c>
      <c r="L53" s="47" t="s">
        <v>18</v>
      </c>
      <c r="M53" s="48" t="s">
        <v>12</v>
      </c>
      <c r="N53" s="48" t="s">
        <v>19</v>
      </c>
      <c r="O53" s="48" t="s">
        <v>20</v>
      </c>
      <c r="P53" s="48" t="s">
        <v>13</v>
      </c>
      <c r="Q53" s="48" t="s">
        <v>14</v>
      </c>
      <c r="R53" s="48" t="s">
        <v>15</v>
      </c>
      <c r="S53" s="48" t="s">
        <v>16</v>
      </c>
      <c r="T53" s="49" t="s">
        <v>38</v>
      </c>
      <c r="U53" s="49" t="s">
        <v>39</v>
      </c>
      <c r="V53" s="50" t="s">
        <v>40</v>
      </c>
      <c r="W53" s="54" t="s">
        <v>41</v>
      </c>
      <c r="X53" s="7"/>
    </row>
    <row r="54" spans="11:24" s="60" customFormat="1" x14ac:dyDescent="0.3">
      <c r="K54" s="55" t="s">
        <v>61</v>
      </c>
      <c r="L54" s="68" t="s">
        <v>148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29</v>
      </c>
      <c r="U54" s="29" t="s">
        <v>30</v>
      </c>
      <c r="V54" s="29" t="s">
        <v>62</v>
      </c>
      <c r="W54" s="55" t="s">
        <v>31</v>
      </c>
      <c r="X54" s="7"/>
    </row>
    <row r="55" spans="11:24" s="60" customFormat="1" x14ac:dyDescent="0.3">
      <c r="K55" s="55" t="s">
        <v>42</v>
      </c>
      <c r="L55" s="68" t="s">
        <v>148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29</v>
      </c>
      <c r="U55" s="29" t="s">
        <v>30</v>
      </c>
      <c r="V55" s="29" t="s">
        <v>32</v>
      </c>
      <c r="W55" s="55" t="s">
        <v>31</v>
      </c>
      <c r="X55" s="7"/>
    </row>
    <row r="56" spans="11:24" s="60" customFormat="1" x14ac:dyDescent="0.3">
      <c r="K56" s="55" t="s">
        <v>172</v>
      </c>
      <c r="L56" s="68" t="s">
        <v>148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29</v>
      </c>
      <c r="U56" s="29" t="s">
        <v>30</v>
      </c>
      <c r="V56" s="29" t="s">
        <v>173</v>
      </c>
      <c r="W56" s="55" t="s">
        <v>31</v>
      </c>
      <c r="X56" s="7"/>
    </row>
    <row r="57" spans="11:24" s="60" customFormat="1" x14ac:dyDescent="0.3">
      <c r="K57" s="67" t="s">
        <v>87</v>
      </c>
      <c r="L57" s="68" t="s">
        <v>148</v>
      </c>
      <c r="M57" s="69">
        <v>0.03</v>
      </c>
      <c r="N57" s="69">
        <v>0.15</v>
      </c>
      <c r="O57" s="69">
        <v>0.12</v>
      </c>
      <c r="P57" s="69">
        <v>1.5</v>
      </c>
      <c r="Q57" s="69">
        <v>3</v>
      </c>
      <c r="R57" s="69">
        <v>5</v>
      </c>
      <c r="S57" s="69">
        <v>2</v>
      </c>
      <c r="T57" s="70" t="s">
        <v>29</v>
      </c>
      <c r="U57" s="70" t="s">
        <v>30</v>
      </c>
      <c r="V57" s="70" t="s">
        <v>62</v>
      </c>
      <c r="W57" s="67" t="s">
        <v>88</v>
      </c>
      <c r="X57" s="7"/>
    </row>
    <row r="58" spans="11:24" s="60" customFormat="1" x14ac:dyDescent="0.3">
      <c r="K58" s="67" t="s">
        <v>90</v>
      </c>
      <c r="L58" s="68" t="s">
        <v>148</v>
      </c>
      <c r="M58" s="69">
        <v>0.03</v>
      </c>
      <c r="N58" s="69">
        <v>0.15</v>
      </c>
      <c r="O58" s="69">
        <v>0.12</v>
      </c>
      <c r="P58" s="69">
        <v>1.5</v>
      </c>
      <c r="Q58" s="69">
        <v>3</v>
      </c>
      <c r="R58" s="69">
        <v>5</v>
      </c>
      <c r="S58" s="69">
        <v>2</v>
      </c>
      <c r="T58" s="70" t="s">
        <v>29</v>
      </c>
      <c r="U58" s="70" t="s">
        <v>30</v>
      </c>
      <c r="V58" s="70" t="s">
        <v>32</v>
      </c>
      <c r="W58" s="67" t="s">
        <v>88</v>
      </c>
      <c r="X58" s="7"/>
    </row>
    <row r="59" spans="11:24" s="60" customFormat="1" x14ac:dyDescent="0.3">
      <c r="K59" s="67" t="s">
        <v>206</v>
      </c>
      <c r="L59" s="68" t="s">
        <v>148</v>
      </c>
      <c r="M59" s="69">
        <v>0.03</v>
      </c>
      <c r="N59" s="69">
        <v>0.15</v>
      </c>
      <c r="O59" s="69">
        <v>0.12</v>
      </c>
      <c r="P59" s="69">
        <v>1.5</v>
      </c>
      <c r="Q59" s="69">
        <v>3</v>
      </c>
      <c r="R59" s="69">
        <v>5</v>
      </c>
      <c r="S59" s="69">
        <v>2</v>
      </c>
      <c r="T59" s="70" t="s">
        <v>29</v>
      </c>
      <c r="U59" s="70" t="s">
        <v>30</v>
      </c>
      <c r="V59" s="70" t="s">
        <v>173</v>
      </c>
      <c r="W59" s="67" t="s">
        <v>88</v>
      </c>
      <c r="X59" s="7"/>
    </row>
    <row r="60" spans="11:24" s="60" customFormat="1" x14ac:dyDescent="0.3">
      <c r="K60" s="67" t="s">
        <v>174</v>
      </c>
      <c r="L60" s="68" t="s">
        <v>148</v>
      </c>
      <c r="M60" s="69">
        <v>0.03</v>
      </c>
      <c r="N60" s="69">
        <v>0.15</v>
      </c>
      <c r="O60" s="69">
        <v>0.12</v>
      </c>
      <c r="P60" s="69">
        <v>1.5</v>
      </c>
      <c r="Q60" s="69">
        <v>3</v>
      </c>
      <c r="R60" s="69">
        <v>5</v>
      </c>
      <c r="S60" s="69">
        <v>2</v>
      </c>
      <c r="T60" s="70" t="s">
        <v>29</v>
      </c>
      <c r="U60" s="70" t="s">
        <v>30</v>
      </c>
      <c r="V60" s="70" t="s">
        <v>175</v>
      </c>
      <c r="W60" s="67" t="s">
        <v>176</v>
      </c>
      <c r="X60" s="7"/>
    </row>
    <row r="61" spans="11:24" s="60" customFormat="1" x14ac:dyDescent="0.3">
      <c r="K61" s="55" t="s">
        <v>210</v>
      </c>
      <c r="L61" s="68" t="s">
        <v>148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29</v>
      </c>
      <c r="U61" s="29" t="s">
        <v>30</v>
      </c>
      <c r="V61" s="29" t="s">
        <v>62</v>
      </c>
      <c r="W61" s="55" t="s">
        <v>205</v>
      </c>
      <c r="X61" s="7"/>
    </row>
    <row r="62" spans="11:24" s="60" customFormat="1" x14ac:dyDescent="0.3">
      <c r="K62" s="55" t="s">
        <v>204</v>
      </c>
      <c r="L62" s="68" t="s">
        <v>148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29</v>
      </c>
      <c r="U62" s="29" t="s">
        <v>30</v>
      </c>
      <c r="V62" s="29" t="s">
        <v>32</v>
      </c>
      <c r="W62" s="55" t="s">
        <v>205</v>
      </c>
      <c r="X62" s="7"/>
    </row>
    <row r="63" spans="11:24" s="60" customFormat="1" x14ac:dyDescent="0.3">
      <c r="K63" s="55" t="s">
        <v>156</v>
      </c>
      <c r="L63" s="68" t="s">
        <v>148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29</v>
      </c>
      <c r="U63" s="29" t="s">
        <v>30</v>
      </c>
      <c r="V63" s="29" t="s">
        <v>154</v>
      </c>
      <c r="W63" s="55" t="s">
        <v>155</v>
      </c>
      <c r="X63" s="7"/>
    </row>
    <row r="64" spans="11:24" s="60" customFormat="1" x14ac:dyDescent="0.3">
      <c r="K64" s="55" t="s">
        <v>115</v>
      </c>
      <c r="L64" s="68" t="s">
        <v>148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29</v>
      </c>
      <c r="U64" s="29" t="s">
        <v>30</v>
      </c>
      <c r="V64" s="29" t="s">
        <v>116</v>
      </c>
      <c r="W64" s="55" t="s">
        <v>117</v>
      </c>
      <c r="X64" s="7"/>
    </row>
    <row r="65" spans="11:24" s="60" customFormat="1" x14ac:dyDescent="0.3">
      <c r="K65" s="55" t="s">
        <v>196</v>
      </c>
      <c r="L65" s="68" t="s">
        <v>197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29</v>
      </c>
      <c r="U65" s="29" t="s">
        <v>30</v>
      </c>
      <c r="V65" s="29" t="s">
        <v>104</v>
      </c>
      <c r="W65" s="55" t="s">
        <v>198</v>
      </c>
      <c r="X65" s="7"/>
    </row>
    <row r="66" spans="11:24" s="60" customFormat="1" x14ac:dyDescent="0.3">
      <c r="K66" s="55" t="s">
        <v>103</v>
      </c>
      <c r="L66" s="68" t="s">
        <v>197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29</v>
      </c>
      <c r="U66" s="29" t="s">
        <v>30</v>
      </c>
      <c r="V66" s="29" t="s">
        <v>104</v>
      </c>
      <c r="W66" s="55" t="s">
        <v>105</v>
      </c>
      <c r="X66" s="7"/>
    </row>
    <row r="67" spans="11:24" s="60" customFormat="1" x14ac:dyDescent="0.3">
      <c r="K67" s="55" t="s">
        <v>111</v>
      </c>
      <c r="L67" s="68" t="s">
        <v>148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29</v>
      </c>
      <c r="U67" s="29" t="s">
        <v>30</v>
      </c>
      <c r="V67" s="29" t="s">
        <v>112</v>
      </c>
      <c r="W67" s="55" t="s">
        <v>78</v>
      </c>
      <c r="X67" s="7"/>
    </row>
    <row r="68" spans="11:24" s="60" customFormat="1" x14ac:dyDescent="0.3">
      <c r="K68" s="55" t="s">
        <v>109</v>
      </c>
      <c r="L68" s="68" t="s">
        <v>148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29</v>
      </c>
      <c r="U68" s="29" t="s">
        <v>30</v>
      </c>
      <c r="V68" s="29" t="s">
        <v>110</v>
      </c>
      <c r="W68" s="55" t="s">
        <v>78</v>
      </c>
      <c r="X68" s="7"/>
    </row>
    <row r="69" spans="11:24" s="60" customFormat="1" x14ac:dyDescent="0.3">
      <c r="K69" s="55" t="s">
        <v>76</v>
      </c>
      <c r="L69" s="68" t="s">
        <v>148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29</v>
      </c>
      <c r="U69" s="29" t="s">
        <v>30</v>
      </c>
      <c r="V69" s="29" t="s">
        <v>77</v>
      </c>
      <c r="W69" s="55" t="s">
        <v>105</v>
      </c>
      <c r="X69" s="7"/>
    </row>
    <row r="70" spans="11:24" s="60" customFormat="1" x14ac:dyDescent="0.3">
      <c r="K70" s="55" t="s">
        <v>137</v>
      </c>
      <c r="L70" s="68" t="s">
        <v>148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29</v>
      </c>
      <c r="U70" s="29" t="s">
        <v>30</v>
      </c>
      <c r="V70" s="29" t="s">
        <v>136</v>
      </c>
      <c r="W70" s="55" t="s">
        <v>105</v>
      </c>
      <c r="X70" s="7"/>
    </row>
    <row r="71" spans="11:24" s="60" customFormat="1" ht="19.2" customHeight="1" x14ac:dyDescent="0.3">
      <c r="K71" s="55" t="s">
        <v>194</v>
      </c>
      <c r="L71" s="68" t="s">
        <v>148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29</v>
      </c>
      <c r="U71" s="29" t="s">
        <v>30</v>
      </c>
      <c r="V71" s="29" t="s">
        <v>192</v>
      </c>
      <c r="W71" s="55" t="s">
        <v>193</v>
      </c>
      <c r="X71" s="7"/>
    </row>
    <row r="72" spans="11:24" s="60" customFormat="1" x14ac:dyDescent="0.3">
      <c r="K72" s="67" t="s">
        <v>113</v>
      </c>
      <c r="L72" s="68" t="s">
        <v>148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29</v>
      </c>
      <c r="U72" s="29" t="s">
        <v>30</v>
      </c>
      <c r="V72" s="70" t="s">
        <v>92</v>
      </c>
      <c r="W72" s="67" t="s">
        <v>114</v>
      </c>
      <c r="X72" s="7"/>
    </row>
    <row r="73" spans="11:24" s="60" customFormat="1" x14ac:dyDescent="0.3">
      <c r="K73" s="67" t="s">
        <v>91</v>
      </c>
      <c r="L73" s="68" t="s">
        <v>148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29</v>
      </c>
      <c r="U73" s="29" t="s">
        <v>30</v>
      </c>
      <c r="V73" s="70" t="s">
        <v>92</v>
      </c>
      <c r="W73" s="67" t="s">
        <v>93</v>
      </c>
      <c r="X73" s="7"/>
    </row>
    <row r="74" spans="11:24" s="60" customFormat="1" x14ac:dyDescent="0.3">
      <c r="K74" s="76" t="s">
        <v>188</v>
      </c>
      <c r="L74" s="68" t="s">
        <v>148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29</v>
      </c>
      <c r="U74" s="29" t="s">
        <v>30</v>
      </c>
      <c r="V74" s="29" t="s">
        <v>185</v>
      </c>
      <c r="W74" s="55" t="s">
        <v>187</v>
      </c>
      <c r="X74" s="7"/>
    </row>
    <row r="75" spans="11:24" s="60" customFormat="1" x14ac:dyDescent="0.3">
      <c r="K75" s="67" t="s">
        <v>163</v>
      </c>
      <c r="L75" s="68" t="s">
        <v>148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29</v>
      </c>
      <c r="U75" s="29" t="s">
        <v>30</v>
      </c>
      <c r="V75" s="70" t="s">
        <v>164</v>
      </c>
      <c r="W75" s="67" t="s">
        <v>165</v>
      </c>
      <c r="X75" s="7"/>
    </row>
    <row r="76" spans="11:24" s="60" customFormat="1" ht="20.399999999999999" x14ac:dyDescent="0.3">
      <c r="K76" s="67" t="s">
        <v>161</v>
      </c>
      <c r="L76" s="68" t="s">
        <v>148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29</v>
      </c>
      <c r="U76" s="29" t="s">
        <v>30</v>
      </c>
      <c r="V76" s="70" t="s">
        <v>160</v>
      </c>
      <c r="W76" s="67" t="s">
        <v>162</v>
      </c>
      <c r="X76" s="7"/>
    </row>
    <row r="77" spans="11:24" s="60" customFormat="1" x14ac:dyDescent="0.3">
      <c r="K77" s="67" t="s">
        <v>101</v>
      </c>
      <c r="L77" s="68" t="s">
        <v>148</v>
      </c>
      <c r="M77" s="69">
        <v>0.03</v>
      </c>
      <c r="N77" s="69">
        <v>0.15</v>
      </c>
      <c r="O77" s="69">
        <v>0.12</v>
      </c>
      <c r="P77" s="69">
        <v>1.5</v>
      </c>
      <c r="Q77" s="69">
        <v>3</v>
      </c>
      <c r="R77" s="69">
        <v>5</v>
      </c>
      <c r="S77" s="69">
        <v>2</v>
      </c>
      <c r="T77" s="70" t="s">
        <v>29</v>
      </c>
      <c r="U77" s="70" t="s">
        <v>30</v>
      </c>
      <c r="V77" s="70" t="s">
        <v>100</v>
      </c>
      <c r="W77" s="67" t="s">
        <v>102</v>
      </c>
      <c r="X77" s="7"/>
    </row>
    <row r="78" spans="11:24" s="60" customFormat="1" x14ac:dyDescent="0.3">
      <c r="K78" s="67" t="s">
        <v>166</v>
      </c>
      <c r="L78" s="68" t="s">
        <v>148</v>
      </c>
      <c r="M78" s="69">
        <v>0.03</v>
      </c>
      <c r="N78" s="69">
        <v>0.15</v>
      </c>
      <c r="O78" s="69">
        <v>0.12</v>
      </c>
      <c r="P78" s="69">
        <v>1.5</v>
      </c>
      <c r="Q78" s="69">
        <v>3</v>
      </c>
      <c r="R78" s="69">
        <v>5</v>
      </c>
      <c r="S78" s="69">
        <v>2</v>
      </c>
      <c r="T78" s="70" t="s">
        <v>29</v>
      </c>
      <c r="U78" s="70" t="s">
        <v>30</v>
      </c>
      <c r="V78" s="70" t="s">
        <v>167</v>
      </c>
      <c r="W78" s="67" t="s">
        <v>168</v>
      </c>
      <c r="X78" s="7"/>
    </row>
    <row r="79" spans="11:24" s="60" customFormat="1" ht="34.200000000000003" customHeight="1" x14ac:dyDescent="0.3">
      <c r="K79" s="67" t="s">
        <v>132</v>
      </c>
      <c r="L79" s="74" t="s">
        <v>135</v>
      </c>
      <c r="M79" s="69">
        <v>0.03</v>
      </c>
      <c r="N79" s="69">
        <v>0.15</v>
      </c>
      <c r="O79" s="69">
        <v>0.12</v>
      </c>
      <c r="P79" s="69">
        <v>1.5</v>
      </c>
      <c r="Q79" s="69">
        <v>3</v>
      </c>
      <c r="R79" s="69">
        <v>5</v>
      </c>
      <c r="S79" s="69">
        <v>2</v>
      </c>
      <c r="T79" s="70" t="s">
        <v>29</v>
      </c>
      <c r="U79" s="70" t="s">
        <v>30</v>
      </c>
      <c r="V79" s="70" t="s">
        <v>133</v>
      </c>
      <c r="W79" s="67" t="s">
        <v>134</v>
      </c>
      <c r="X79" s="7"/>
    </row>
    <row r="80" spans="11:24" s="60" customFormat="1" x14ac:dyDescent="0.3">
      <c r="K80" s="67" t="s">
        <v>130</v>
      </c>
      <c r="L80" s="68" t="s">
        <v>148</v>
      </c>
      <c r="M80" s="69">
        <v>0.03</v>
      </c>
      <c r="N80" s="69">
        <v>0.15</v>
      </c>
      <c r="O80" s="69">
        <v>0.12</v>
      </c>
      <c r="P80" s="69">
        <v>1.5</v>
      </c>
      <c r="Q80" s="69">
        <v>3</v>
      </c>
      <c r="R80" s="69">
        <v>5</v>
      </c>
      <c r="S80" s="69">
        <v>2</v>
      </c>
      <c r="T80" s="70" t="s">
        <v>29</v>
      </c>
      <c r="U80" s="70" t="s">
        <v>30</v>
      </c>
      <c r="V80" s="70" t="s">
        <v>129</v>
      </c>
      <c r="W80" s="67" t="s">
        <v>131</v>
      </c>
      <c r="X80" s="7"/>
    </row>
    <row r="81" spans="11:24" s="60" customFormat="1" x14ac:dyDescent="0.3">
      <c r="K81" s="67" t="s">
        <v>127</v>
      </c>
      <c r="L81" s="68" t="s">
        <v>148</v>
      </c>
      <c r="M81" s="69">
        <v>0.03</v>
      </c>
      <c r="N81" s="69">
        <v>0.15</v>
      </c>
      <c r="O81" s="69">
        <v>0.12</v>
      </c>
      <c r="P81" s="69">
        <v>1.5</v>
      </c>
      <c r="Q81" s="69">
        <v>3</v>
      </c>
      <c r="R81" s="69">
        <v>5</v>
      </c>
      <c r="S81" s="69">
        <v>2</v>
      </c>
      <c r="T81" s="70" t="s">
        <v>29</v>
      </c>
      <c r="U81" s="70" t="s">
        <v>30</v>
      </c>
      <c r="V81" s="70" t="s">
        <v>125</v>
      </c>
      <c r="W81" s="67" t="s">
        <v>128</v>
      </c>
      <c r="X81" s="7"/>
    </row>
    <row r="82" spans="11:24" s="60" customFormat="1" x14ac:dyDescent="0.3">
      <c r="K82" s="67" t="s">
        <v>124</v>
      </c>
      <c r="L82" s="68" t="s">
        <v>148</v>
      </c>
      <c r="M82" s="69">
        <v>0.03</v>
      </c>
      <c r="N82" s="69">
        <v>0.15</v>
      </c>
      <c r="O82" s="69">
        <v>0.12</v>
      </c>
      <c r="P82" s="69">
        <v>1.5</v>
      </c>
      <c r="Q82" s="69">
        <v>3</v>
      </c>
      <c r="R82" s="69">
        <v>5</v>
      </c>
      <c r="S82" s="69">
        <v>2</v>
      </c>
      <c r="T82" s="70" t="s">
        <v>29</v>
      </c>
      <c r="U82" s="70" t="s">
        <v>30</v>
      </c>
      <c r="V82" s="70" t="s">
        <v>125</v>
      </c>
      <c r="W82" s="67" t="s">
        <v>126</v>
      </c>
      <c r="X82" s="7"/>
    </row>
    <row r="83" spans="11:24" s="60" customFormat="1" x14ac:dyDescent="0.3">
      <c r="K83" s="67" t="s">
        <v>143</v>
      </c>
      <c r="L83" s="68" t="s">
        <v>148</v>
      </c>
      <c r="M83" s="69">
        <v>0.03</v>
      </c>
      <c r="N83" s="69">
        <v>0.15</v>
      </c>
      <c r="O83" s="69">
        <v>0.12</v>
      </c>
      <c r="P83" s="69">
        <v>1.5</v>
      </c>
      <c r="Q83" s="69">
        <v>3</v>
      </c>
      <c r="R83" s="69">
        <v>5</v>
      </c>
      <c r="S83" s="69">
        <v>2</v>
      </c>
      <c r="T83" s="70" t="s">
        <v>29</v>
      </c>
      <c r="U83" s="70" t="s">
        <v>30</v>
      </c>
      <c r="V83" s="29" t="s">
        <v>144</v>
      </c>
      <c r="W83" s="55" t="s">
        <v>145</v>
      </c>
      <c r="X83" s="7"/>
    </row>
    <row r="84" spans="11:24" s="60" customFormat="1" ht="20.399999999999999" x14ac:dyDescent="0.3">
      <c r="K84" s="67" t="s">
        <v>118</v>
      </c>
      <c r="L84" s="74" t="s">
        <v>120</v>
      </c>
      <c r="M84" s="69">
        <v>0.03</v>
      </c>
      <c r="N84" s="69">
        <v>0.15</v>
      </c>
      <c r="O84" s="69">
        <v>0.12</v>
      </c>
      <c r="P84" s="69">
        <v>1.5</v>
      </c>
      <c r="Q84" s="69">
        <v>3</v>
      </c>
      <c r="R84" s="69">
        <v>5</v>
      </c>
      <c r="S84" s="69">
        <v>2</v>
      </c>
      <c r="T84" s="70" t="s">
        <v>29</v>
      </c>
      <c r="U84" s="70" t="s">
        <v>30</v>
      </c>
      <c r="V84" s="70" t="s">
        <v>119</v>
      </c>
      <c r="W84" s="67" t="s">
        <v>121</v>
      </c>
      <c r="X84" s="7"/>
    </row>
    <row r="85" spans="11:24" s="60" customFormat="1" x14ac:dyDescent="0.3">
      <c r="K85" s="67" t="s">
        <v>179</v>
      </c>
      <c r="L85" s="68" t="s">
        <v>148</v>
      </c>
      <c r="M85" s="69">
        <v>0.03</v>
      </c>
      <c r="N85" s="69">
        <v>0.15</v>
      </c>
      <c r="O85" s="69">
        <v>0.12</v>
      </c>
      <c r="P85" s="69">
        <v>1.5</v>
      </c>
      <c r="Q85" s="69">
        <v>3</v>
      </c>
      <c r="R85" s="69">
        <v>5</v>
      </c>
      <c r="S85" s="69">
        <v>2</v>
      </c>
      <c r="T85" s="70" t="s">
        <v>29</v>
      </c>
      <c r="U85" s="70" t="s">
        <v>30</v>
      </c>
      <c r="V85" s="70" t="s">
        <v>98</v>
      </c>
      <c r="W85" s="67" t="s">
        <v>180</v>
      </c>
      <c r="X85" s="7"/>
    </row>
    <row r="86" spans="11:24" s="60" customFormat="1" x14ac:dyDescent="0.3">
      <c r="K86" s="67" t="s">
        <v>199</v>
      </c>
      <c r="L86" s="68" t="s">
        <v>148</v>
      </c>
      <c r="M86" s="69">
        <v>0.03</v>
      </c>
      <c r="N86" s="69">
        <v>0.15</v>
      </c>
      <c r="O86" s="69">
        <v>0.12</v>
      </c>
      <c r="P86" s="69">
        <v>1.5</v>
      </c>
      <c r="Q86" s="69">
        <v>3</v>
      </c>
      <c r="R86" s="69">
        <v>5</v>
      </c>
      <c r="S86" s="69">
        <v>2</v>
      </c>
      <c r="T86" s="70" t="s">
        <v>29</v>
      </c>
      <c r="U86" s="70" t="s">
        <v>30</v>
      </c>
      <c r="V86" s="70" t="s">
        <v>98</v>
      </c>
      <c r="W86" s="67" t="s">
        <v>200</v>
      </c>
      <c r="X86" s="7"/>
    </row>
    <row r="87" spans="11:24" s="60" customFormat="1" x14ac:dyDescent="0.3">
      <c r="K87" s="67" t="s">
        <v>97</v>
      </c>
      <c r="L87" s="68" t="s">
        <v>148</v>
      </c>
      <c r="M87" s="69">
        <v>0.03</v>
      </c>
      <c r="N87" s="69">
        <v>0.15</v>
      </c>
      <c r="O87" s="69">
        <v>0.12</v>
      </c>
      <c r="P87" s="69">
        <v>1.5</v>
      </c>
      <c r="Q87" s="69">
        <v>3</v>
      </c>
      <c r="R87" s="69">
        <v>5</v>
      </c>
      <c r="S87" s="69">
        <v>2</v>
      </c>
      <c r="T87" s="70" t="s">
        <v>29</v>
      </c>
      <c r="U87" s="70" t="s">
        <v>30</v>
      </c>
      <c r="V87" s="70" t="s">
        <v>98</v>
      </c>
      <c r="W87" s="67" t="s">
        <v>99</v>
      </c>
      <c r="X87" s="7"/>
    </row>
    <row r="88" spans="11:24" s="60" customFormat="1" x14ac:dyDescent="0.3">
      <c r="K88" s="67" t="s">
        <v>141</v>
      </c>
      <c r="L88" s="68" t="s">
        <v>149</v>
      </c>
      <c r="M88" s="69">
        <v>0.03</v>
      </c>
      <c r="N88" s="69">
        <v>0.15</v>
      </c>
      <c r="O88" s="69">
        <v>0.12</v>
      </c>
      <c r="P88" s="69">
        <v>1.5</v>
      </c>
      <c r="Q88" s="69">
        <v>3</v>
      </c>
      <c r="R88" s="69">
        <v>5</v>
      </c>
      <c r="S88" s="69">
        <v>2</v>
      </c>
      <c r="T88" s="70" t="s">
        <v>29</v>
      </c>
      <c r="U88" s="70" t="s">
        <v>30</v>
      </c>
      <c r="V88" s="70" t="s">
        <v>139</v>
      </c>
      <c r="W88" s="67" t="s">
        <v>142</v>
      </c>
      <c r="X88" s="7"/>
    </row>
    <row r="89" spans="11:24" s="60" customFormat="1" x14ac:dyDescent="0.3">
      <c r="K89" s="67" t="s">
        <v>138</v>
      </c>
      <c r="L89" s="68" t="s">
        <v>149</v>
      </c>
      <c r="M89" s="69">
        <v>0.03</v>
      </c>
      <c r="N89" s="69">
        <v>0.15</v>
      </c>
      <c r="O89" s="69">
        <v>0.12</v>
      </c>
      <c r="P89" s="69">
        <v>1.5</v>
      </c>
      <c r="Q89" s="69">
        <v>3</v>
      </c>
      <c r="R89" s="69">
        <v>5</v>
      </c>
      <c r="S89" s="69">
        <v>2</v>
      </c>
      <c r="T89" s="70" t="s">
        <v>29</v>
      </c>
      <c r="U89" s="70" t="s">
        <v>30</v>
      </c>
      <c r="V89" s="70" t="s">
        <v>139</v>
      </c>
      <c r="W89" s="67" t="s">
        <v>140</v>
      </c>
      <c r="X89" s="7"/>
    </row>
    <row r="90" spans="11:24" s="60" customFormat="1" ht="19.2" customHeight="1" x14ac:dyDescent="0.3">
      <c r="K90" s="67" t="s">
        <v>169</v>
      </c>
      <c r="L90" s="68" t="s">
        <v>148</v>
      </c>
      <c r="M90" s="69">
        <v>0.03</v>
      </c>
      <c r="N90" s="69">
        <v>0.15</v>
      </c>
      <c r="O90" s="69">
        <v>0.12</v>
      </c>
      <c r="P90" s="69">
        <v>1.5</v>
      </c>
      <c r="Q90" s="69">
        <v>3</v>
      </c>
      <c r="R90" s="69">
        <v>5</v>
      </c>
      <c r="S90" s="69">
        <v>2</v>
      </c>
      <c r="T90" s="70" t="s">
        <v>29</v>
      </c>
      <c r="U90" s="70" t="s">
        <v>30</v>
      </c>
      <c r="V90" s="70" t="s">
        <v>170</v>
      </c>
      <c r="W90" s="67" t="s">
        <v>171</v>
      </c>
      <c r="X90" s="7"/>
    </row>
    <row r="91" spans="11:24" s="60" customFormat="1" ht="19.2" customHeight="1" x14ac:dyDescent="0.3">
      <c r="K91" s="67" t="s">
        <v>201</v>
      </c>
      <c r="L91" s="68" t="s">
        <v>148</v>
      </c>
      <c r="M91" s="69">
        <v>0.03</v>
      </c>
      <c r="N91" s="69">
        <v>0.15</v>
      </c>
      <c r="O91" s="69">
        <v>0.12</v>
      </c>
      <c r="P91" s="69">
        <v>1.5</v>
      </c>
      <c r="Q91" s="69">
        <v>3</v>
      </c>
      <c r="R91" s="69">
        <v>5</v>
      </c>
      <c r="S91" s="69">
        <v>2</v>
      </c>
      <c r="T91" s="70" t="s">
        <v>29</v>
      </c>
      <c r="U91" s="70" t="s">
        <v>30</v>
      </c>
      <c r="V91" s="70" t="s">
        <v>202</v>
      </c>
      <c r="W91" s="67" t="s">
        <v>203</v>
      </c>
      <c r="X91" s="7"/>
    </row>
    <row r="92" spans="11:24" s="60" customFormat="1" x14ac:dyDescent="0.3">
      <c r="K92" s="67" t="s">
        <v>157</v>
      </c>
      <c r="L92" s="68" t="s">
        <v>148</v>
      </c>
      <c r="M92" s="69">
        <v>0.03</v>
      </c>
      <c r="N92" s="69">
        <v>0.15</v>
      </c>
      <c r="O92" s="69">
        <v>0.12</v>
      </c>
      <c r="P92" s="69">
        <v>1.5</v>
      </c>
      <c r="Q92" s="69">
        <v>3</v>
      </c>
      <c r="R92" s="69">
        <v>5</v>
      </c>
      <c r="S92" s="69">
        <v>2</v>
      </c>
      <c r="T92" s="70" t="s">
        <v>29</v>
      </c>
      <c r="U92" s="70" t="s">
        <v>30</v>
      </c>
      <c r="V92" s="70" t="s">
        <v>159</v>
      </c>
      <c r="W92" s="67" t="s">
        <v>158</v>
      </c>
      <c r="X92" s="7"/>
    </row>
    <row r="93" spans="11:24" s="60" customFormat="1" x14ac:dyDescent="0.3">
      <c r="K93" s="67" t="s">
        <v>146</v>
      </c>
      <c r="L93" s="68" t="s">
        <v>148</v>
      </c>
      <c r="M93" s="69">
        <v>0.03</v>
      </c>
      <c r="N93" s="69">
        <v>0.15</v>
      </c>
      <c r="O93" s="69">
        <v>0.12</v>
      </c>
      <c r="P93" s="69">
        <v>1.5</v>
      </c>
      <c r="Q93" s="69">
        <v>3</v>
      </c>
      <c r="R93" s="69">
        <v>5</v>
      </c>
      <c r="S93" s="69">
        <v>2</v>
      </c>
      <c r="T93" s="70" t="s">
        <v>29</v>
      </c>
      <c r="U93" s="70" t="s">
        <v>30</v>
      </c>
      <c r="V93" s="70" t="s">
        <v>147</v>
      </c>
      <c r="W93" s="67" t="s">
        <v>108</v>
      </c>
      <c r="X93" s="7"/>
    </row>
    <row r="94" spans="11:24" s="60" customFormat="1" x14ac:dyDescent="0.3">
      <c r="K94" s="67" t="s">
        <v>106</v>
      </c>
      <c r="L94" s="68" t="s">
        <v>149</v>
      </c>
      <c r="M94" s="69">
        <v>0.03</v>
      </c>
      <c r="N94" s="69">
        <v>0.15</v>
      </c>
      <c r="O94" s="69">
        <v>0.12</v>
      </c>
      <c r="P94" s="69">
        <v>1.5</v>
      </c>
      <c r="Q94" s="69">
        <v>3</v>
      </c>
      <c r="R94" s="69">
        <v>5</v>
      </c>
      <c r="S94" s="69">
        <v>2</v>
      </c>
      <c r="T94" s="70" t="s">
        <v>29</v>
      </c>
      <c r="U94" s="70" t="s">
        <v>30</v>
      </c>
      <c r="V94" s="70" t="s">
        <v>107</v>
      </c>
      <c r="W94" s="67" t="s">
        <v>108</v>
      </c>
      <c r="X94" s="7"/>
    </row>
    <row r="95" spans="11:24" s="60" customFormat="1" ht="20.399999999999999" x14ac:dyDescent="0.3">
      <c r="K95" s="67" t="s">
        <v>151</v>
      </c>
      <c r="L95" s="68" t="s">
        <v>153</v>
      </c>
      <c r="M95" s="69">
        <v>0.03</v>
      </c>
      <c r="N95" s="69">
        <v>0.15</v>
      </c>
      <c r="O95" s="69">
        <v>0.12</v>
      </c>
      <c r="P95" s="69">
        <v>1.5</v>
      </c>
      <c r="Q95" s="69">
        <v>3</v>
      </c>
      <c r="R95" s="69">
        <v>5</v>
      </c>
      <c r="S95" s="69">
        <v>2</v>
      </c>
      <c r="T95" s="70" t="s">
        <v>29</v>
      </c>
      <c r="U95" s="70" t="s">
        <v>30</v>
      </c>
      <c r="V95" s="70" t="s">
        <v>150</v>
      </c>
      <c r="W95" s="67" t="s">
        <v>152</v>
      </c>
      <c r="X95" s="7"/>
    </row>
    <row r="96" spans="11:24" s="60" customFormat="1" ht="20.399999999999999" customHeight="1" x14ac:dyDescent="0.3">
      <c r="K96" s="67" t="s">
        <v>189</v>
      </c>
      <c r="L96" s="68" t="s">
        <v>148</v>
      </c>
      <c r="M96" s="69">
        <v>0.03</v>
      </c>
      <c r="N96" s="69">
        <v>0.15</v>
      </c>
      <c r="O96" s="69">
        <v>0.12</v>
      </c>
      <c r="P96" s="69">
        <v>1.5</v>
      </c>
      <c r="Q96" s="69">
        <v>3</v>
      </c>
      <c r="R96" s="69">
        <v>5</v>
      </c>
      <c r="S96" s="69">
        <v>2</v>
      </c>
      <c r="T96" s="70" t="s">
        <v>29</v>
      </c>
      <c r="U96" s="70" t="s">
        <v>30</v>
      </c>
      <c r="V96" s="70" t="s">
        <v>190</v>
      </c>
      <c r="W96" s="67" t="s">
        <v>191</v>
      </c>
      <c r="X96" s="7"/>
    </row>
    <row r="97" spans="11:24" s="60" customFormat="1" x14ac:dyDescent="0.3">
      <c r="K97" s="67" t="s">
        <v>184</v>
      </c>
      <c r="L97" s="68" t="s">
        <v>148</v>
      </c>
      <c r="M97" s="69">
        <v>0.03</v>
      </c>
      <c r="N97" s="69">
        <v>0.15</v>
      </c>
      <c r="O97" s="69">
        <v>0.12</v>
      </c>
      <c r="P97" s="69">
        <v>1.5</v>
      </c>
      <c r="Q97" s="69">
        <v>3</v>
      </c>
      <c r="R97" s="69">
        <v>5</v>
      </c>
      <c r="S97" s="69">
        <v>2</v>
      </c>
      <c r="T97" s="70" t="s">
        <v>29</v>
      </c>
      <c r="U97" s="70" t="s">
        <v>30</v>
      </c>
      <c r="V97" s="70" t="s">
        <v>185</v>
      </c>
      <c r="W97" s="67" t="s">
        <v>183</v>
      </c>
      <c r="X97" s="7"/>
    </row>
    <row r="98" spans="11:24" s="60" customFormat="1" x14ac:dyDescent="0.3">
      <c r="K98" s="67" t="s">
        <v>181</v>
      </c>
      <c r="L98" s="68" t="s">
        <v>148</v>
      </c>
      <c r="M98" s="69">
        <v>0.03</v>
      </c>
      <c r="N98" s="69">
        <v>0.15</v>
      </c>
      <c r="O98" s="69">
        <v>0.12</v>
      </c>
      <c r="P98" s="69">
        <v>1.5</v>
      </c>
      <c r="Q98" s="69">
        <v>3</v>
      </c>
      <c r="R98" s="69">
        <v>5</v>
      </c>
      <c r="S98" s="69">
        <v>2</v>
      </c>
      <c r="T98" s="70" t="s">
        <v>29</v>
      </c>
      <c r="U98" s="70" t="s">
        <v>30</v>
      </c>
      <c r="V98" s="70" t="s">
        <v>182</v>
      </c>
      <c r="W98" s="67" t="s">
        <v>183</v>
      </c>
      <c r="X98" s="7"/>
    </row>
    <row r="99" spans="11:24" s="60" customFormat="1" x14ac:dyDescent="0.3">
      <c r="K99" s="67" t="s">
        <v>186</v>
      </c>
      <c r="L99" s="68" t="s">
        <v>148</v>
      </c>
      <c r="M99" s="69">
        <v>0.03</v>
      </c>
      <c r="N99" s="69">
        <v>0.15</v>
      </c>
      <c r="O99" s="69">
        <v>0.12</v>
      </c>
      <c r="P99" s="69">
        <v>1.5</v>
      </c>
      <c r="Q99" s="69">
        <v>3</v>
      </c>
      <c r="R99" s="69">
        <v>5</v>
      </c>
      <c r="S99" s="69">
        <v>2</v>
      </c>
      <c r="T99" s="70" t="s">
        <v>29</v>
      </c>
      <c r="U99" s="70" t="s">
        <v>30</v>
      </c>
      <c r="V99" s="70" t="s">
        <v>178</v>
      </c>
      <c r="W99" s="67" t="s">
        <v>123</v>
      </c>
      <c r="X99" s="7"/>
    </row>
    <row r="100" spans="11:24" s="60" customFormat="1" x14ac:dyDescent="0.3">
      <c r="K100" s="67" t="s">
        <v>177</v>
      </c>
      <c r="L100" s="68" t="s">
        <v>148</v>
      </c>
      <c r="M100" s="69">
        <v>0.03</v>
      </c>
      <c r="N100" s="69">
        <v>0.15</v>
      </c>
      <c r="O100" s="69">
        <v>0.12</v>
      </c>
      <c r="P100" s="69">
        <v>1.5</v>
      </c>
      <c r="Q100" s="69">
        <v>3</v>
      </c>
      <c r="R100" s="69">
        <v>5</v>
      </c>
      <c r="S100" s="69">
        <v>2</v>
      </c>
      <c r="T100" s="70" t="s">
        <v>29</v>
      </c>
      <c r="U100" s="70" t="s">
        <v>30</v>
      </c>
      <c r="V100" s="70" t="s">
        <v>178</v>
      </c>
      <c r="W100" s="67" t="s">
        <v>96</v>
      </c>
      <c r="X100" s="7"/>
    </row>
    <row r="101" spans="11:24" s="60" customFormat="1" x14ac:dyDescent="0.3">
      <c r="K101" s="67" t="s">
        <v>122</v>
      </c>
      <c r="L101" s="68" t="s">
        <v>148</v>
      </c>
      <c r="M101" s="69">
        <v>0.03</v>
      </c>
      <c r="N101" s="69">
        <v>0.15</v>
      </c>
      <c r="O101" s="69">
        <v>0.12</v>
      </c>
      <c r="P101" s="69">
        <v>1.5</v>
      </c>
      <c r="Q101" s="69">
        <v>3</v>
      </c>
      <c r="R101" s="69">
        <v>5</v>
      </c>
      <c r="S101" s="69">
        <v>2</v>
      </c>
      <c r="T101" s="70" t="s">
        <v>29</v>
      </c>
      <c r="U101" s="70" t="s">
        <v>30</v>
      </c>
      <c r="V101" s="70" t="s">
        <v>95</v>
      </c>
      <c r="W101" s="67" t="s">
        <v>123</v>
      </c>
      <c r="X101" s="7"/>
    </row>
    <row r="102" spans="11:24" s="60" customFormat="1" x14ac:dyDescent="0.3">
      <c r="K102" s="67" t="s">
        <v>94</v>
      </c>
      <c r="L102" s="68" t="s">
        <v>148</v>
      </c>
      <c r="M102" s="69">
        <v>0.03</v>
      </c>
      <c r="N102" s="69">
        <v>0.15</v>
      </c>
      <c r="O102" s="69">
        <v>0.12</v>
      </c>
      <c r="P102" s="69">
        <v>1.5</v>
      </c>
      <c r="Q102" s="69">
        <v>3</v>
      </c>
      <c r="R102" s="69">
        <v>5</v>
      </c>
      <c r="S102" s="69">
        <v>2</v>
      </c>
      <c r="T102" s="70" t="s">
        <v>29</v>
      </c>
      <c r="U102" s="70" t="s">
        <v>30</v>
      </c>
      <c r="V102" s="70" t="s">
        <v>95</v>
      </c>
      <c r="W102" s="67" t="s">
        <v>96</v>
      </c>
      <c r="X102" s="7"/>
    </row>
    <row r="103" spans="11:24" x14ac:dyDescent="0.3">
      <c r="K103" s="73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120"/>
    </row>
    <row r="144" spans="24:24" x14ac:dyDescent="0.3">
      <c r="X144" s="120"/>
    </row>
    <row r="145" spans="1:24" x14ac:dyDescent="0.3">
      <c r="X145" s="12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12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120"/>
    </row>
    <row r="148" spans="1:24" x14ac:dyDescent="0.3">
      <c r="X148" s="12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2025-09-30T16:18:25Z</cp:lastPrinted>
  <dcterms:created xsi:type="dcterms:W3CDTF">2015-01-22T18:16:29Z</dcterms:created>
  <dcterms:modified xsi:type="dcterms:W3CDTF">2025-09-30T16:23:53Z</dcterms:modified>
</cp:coreProperties>
</file>