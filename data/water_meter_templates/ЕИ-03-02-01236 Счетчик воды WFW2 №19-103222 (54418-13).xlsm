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8_{99C6E429-9675-4CA8-BD63-AB1235251D1A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<sst xmlns="http://schemas.openxmlformats.org/spreadsheetml/2006/main" count="499" uniqueCount="271">
  <si>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</si>
  <si>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</si>
  <si>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</si>
  <si>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</si>
  <si>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</si>
  <si>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</si>
  <si>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</si>
  <si>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</si>
  <si>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</si>
  <si>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</si>
  <si>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</si>
  <si>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</si>
  <si>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</si>
  <si>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</si>
  <si>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</si>
  <si>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</si>
  <si>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</si>
  <si>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</si>
  <si>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</si>
  <si>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</si>
  <si>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</si>
  <si>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</si>
  <si>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</si>
  <si>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</si>
  <si>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</si>
  <si>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</si>
  <si>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</si>
  <si>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</si>
  <si>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</si>
  <si>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</si>
  <si>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</si>
  <si>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</si>
  <si>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</si>
  <si>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</si>
  <si>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</si>
  <si>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</si>
  <si>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</si>
  <si>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</si>
  <si>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</si>
  <si>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</si>
  <si>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</si>
  <si>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</si>
  <si>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</si>
  <si>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</si>
  <si>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</si>
  <si>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</si>
  <si>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</si>
  <si>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</si>
  <si>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</si>
  <si>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</si>
  <si>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</si>
  <si>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</si>
  <si>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</si>
  <si>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</si>
  <si>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</si>
  <si>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</si>
  <si>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</si>
  <si>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</si>
  <si>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</si>
  <si>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</si>
  <si>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</si>
  <si>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</si>
  <si>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</si>
  <si>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</si>
  <si>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</si>
  <si>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</si>
  <si>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</si>
  <si>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</si>
  <si>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</si>
  <si>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</si>
  <si>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</si>
  <si>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</si>
  <si>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</si>
  <si>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</si>
  <si>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</si>
  <si>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</si>
  <si>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</si>
  <si>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</si>
  <si>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</si>
  <si>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</si>
  <si>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</si>
  <si>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</si>
  <si>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</si>
  <si>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</si>
  <si>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</si>
  <si>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</si>
  <si>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</si>
  <si>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</si>
  <si>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</si>
  <si>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</si>
  <si>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</si>
  <si>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</si>
  <si>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</si>
  <si>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</si>
  <si>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</si>
  <si>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</si>
  <si>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</si>
  <si>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</si>
  <si>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</si>
  <si>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</si>
  <si>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</si>
  <si>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</si>
  <si>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</si>
  <si>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</si>
  <si>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</si>
  <si>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</si>
  <si>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</si>
  <si>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</si>
  <si>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</si>
  <si>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</si>
  <si>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</si>
  <si>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</si>
  <si>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</si>
  <si>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</si>
  <si>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</si>
  <si>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</si>
  <si>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</si>
  <si>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</si>
  <si>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</si>
  <si>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</si>
  <si>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</si>
  <si>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</si>
  <si>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</si>
  <si>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</si>
  <si>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</si>
  <si>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</si>
  <si>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</si>
  <si>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</si>
  <si>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</si>
  <si>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</si>
  <si>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</si>
  <si>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</si>
  <si>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</si>
  <si>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</si>
  <si>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</si>
  <si>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</si>
  <si>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</si>
  <si>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</si>
  <si>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</si>
  <si>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</si>
  <si>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</si>
  <si>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</si>
  <si>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</si>
  <si>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</si>
  <si>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</si>
  <si>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</si>
  <si>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</si>
  <si>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</si>
  <si>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</si>
  <si>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</si>
  <si>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</si>
  <si>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</si>
  <si>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</si>
  <si>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</si>
  <si>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</si>
  <si>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</si>
  <si>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</si>
  <si>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</si>
  <si>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</si>
  <si>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</si>
  <si>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</si>
  <si>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</si>
  <si>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</si>
  <si>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</si>
  <si>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</si>
  <si>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</si>
  <si>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</si>
  <si>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</si>
  <si>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</si>
  <si>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</si>
  <si>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</si>
  <si>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</si>
  <si>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</si>
  <si>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</si>
  <si>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</si>
  <si>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</si>
  <si>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</si>
  <si>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</si>
  <si>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</si>
  <si>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</si>
  <si>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</si>
  <si>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</si>
  <si>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</si>
  <si>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</si>
  <si>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</si>
  <si>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</si>
  <si>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</si>
  <si>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</si>
  <si>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</si>
  <si>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</si>
  <si>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</si>
  <si>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</si>
  <si>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</si>
  <si>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</si>
  <si>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</si>
  <si>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</si>
  <si>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</si>
  <si>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</si>
  <si>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</si>
  <si>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</si>
  <si>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</si>
  <si>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</si>
  <si>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</si>
  <si>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</si>
  <si>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</si>
  <si>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</si>
  <si>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</si>
  <si>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</si>
  <si>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</si>
  <si>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</si>
  <si>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</si>
  <si>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</si>
  <si>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</si>
  <si>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</si>
  <si>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</si>
  <si>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</si>
  <si>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</si>
  <si>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</si>
  <si>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</si>
  <si>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</si>
  <si>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</si>
  <si>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</si>
  <si>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</si>
  <si>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</si>
  <si>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</si>
  <si>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</si>
  <si>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</si>
  <si>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</si>
  <si>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</si>
  <si>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</si>
  <si>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</si>
  <si>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</si>
  <si>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</si>
  <si>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</si>
  <si>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</si>
  <si>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</si>
  <si>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</si>
  <si>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</si>
  <si>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</si>
  <si>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</si>
  <si>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</si>
  <si>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</si>
  <si>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</si>
  <si>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</si>
  <si>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</si>
  <si>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</si>
  <si>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</si>
  <si>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</si>
  <si>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</si>
  <si>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</si>
  <si>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</si>
  <si>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</si>
  <si>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</si>
  <si>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</si>
  <si>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</si>
  <si>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</si>
  <si>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</si>
  <si>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</si>
  <si>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</si>
  <si>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</si>
  <si>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</si>
  <si>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</si>
  <si>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</si>
  <si>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</si>
  <si>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</si>
  <si>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</si>
  <si>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</si>
  <si>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01236</t>
  </si>
  <si>
    <t>19-103222</t>
  </si>
  <si>
    <t>175,222</t>
  </si>
  <si>
    <t>г. Киров, ул. Ленина, 168-50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</si>
</sst>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topLeftCell="A28" zoomScaleSheetLayoutView="20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№ЕИ-04/02-01236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WFW2, год изготовления 2019, заводской № 19-103222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54418-13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Ленина, 168-50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25.4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25.299999999999997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53.2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61.800000000000004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102.3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102.3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64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64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«Счетчики холодной и горячей воды крыльчатые WFK2; WFW2. Методика поверки» МП 208-037-2020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3.2000000000000001E-2</v>
      </c>
      <c r="AD53" s="124"/>
      <c r="AE53" s="124"/>
      <c r="AF53" s="124"/>
      <c r="AG53" s="124"/>
      <c r="AH53" s="124"/>
      <c r="AI53" s="125"/>
      <c r="AJ53" s="122" t="str">
        <f>Данные!B5</f>
        <v>175,222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175.22900000000001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7.0000000000000001E-3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0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175.23000000000002</v>
      </c>
      <c r="AK54" s="124"/>
      <c r="AL54" s="124"/>
      <c r="AM54" s="124"/>
      <c r="AN54" s="124"/>
      <c r="AO54" s="124"/>
      <c r="AP54" s="125"/>
      <c r="AQ54" s="123">
        <f t="shared" ca="1" si="0"/>
        <v>175.23700000000002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6.8999999999999999E-3</v>
      </c>
      <c r="BE54" s="136"/>
      <c r="BF54" s="136"/>
      <c r="BG54" s="136"/>
      <c r="BH54" s="136"/>
      <c r="BI54" s="136"/>
      <c r="BJ54" s="137"/>
      <c r="BK54" s="132">
        <f t="shared" ca="1" si="1"/>
        <v>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0.03</v>
      </c>
      <c r="AD55" s="124"/>
      <c r="AE55" s="124"/>
      <c r="AF55" s="124"/>
      <c r="AG55" s="124"/>
      <c r="AH55" s="124"/>
      <c r="AI55" s="125"/>
      <c r="AJ55" s="122">
        <f ca="1">AQ54+RANDBETWEEN(1,3)/1000</f>
        <v>175.23900000000003</v>
      </c>
      <c r="AK55" s="120"/>
      <c r="AL55" s="120"/>
      <c r="AM55" s="120"/>
      <c r="AN55" s="120"/>
      <c r="AO55" s="120"/>
      <c r="AP55" s="121"/>
      <c r="AQ55" s="123">
        <f t="shared" ca="1" si="0"/>
        <v>175.24500000000003</v>
      </c>
      <c r="AR55" s="124"/>
      <c r="AS55" s="124"/>
      <c r="AT55" s="124"/>
      <c r="AU55" s="124"/>
      <c r="AV55" s="125"/>
      <c r="AW55" s="123">
        <f t="shared" ref="AW55" ca="1" si="3">ROUNDUP(AC55*720/3600,3)</f>
        <v>6.0000000000000001E-3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5.8000000000000005E-3</v>
      </c>
      <c r="BE55" s="136"/>
      <c r="BF55" s="136"/>
      <c r="BG55" s="136"/>
      <c r="BH55" s="136"/>
      <c r="BI55" s="136"/>
      <c r="BJ55" s="137"/>
      <c r="BK55" s="132">
        <f t="shared" ca="1" si="1"/>
        <v>3.4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0.127</v>
      </c>
      <c r="AD56" s="124"/>
      <c r="AE56" s="124"/>
      <c r="AF56" s="124"/>
      <c r="AG56" s="124"/>
      <c r="AH56" s="124"/>
      <c r="AI56" s="125"/>
      <c r="AJ56" s="119">
        <f ca="1">AQ55+RANDBETWEEN(4,7)/1000</f>
        <v>175.25000000000003</v>
      </c>
      <c r="AK56" s="120"/>
      <c r="AL56" s="120"/>
      <c r="AM56" s="120"/>
      <c r="AN56" s="120"/>
      <c r="AO56" s="120"/>
      <c r="AP56" s="121"/>
      <c r="AQ56" s="123">
        <f t="shared" ca="1" si="0"/>
        <v>175.26300000000003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1.3100000000000001E-2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-0.8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0.129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175.26800000000003</v>
      </c>
      <c r="AK57" s="120"/>
      <c r="AL57" s="120"/>
      <c r="AM57" s="120"/>
      <c r="AN57" s="120"/>
      <c r="AO57" s="120"/>
      <c r="AP57" s="121"/>
      <c r="AQ57" s="123">
        <f t="shared" ca="1" si="0"/>
        <v>175.28100000000003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1.3100000000000001E-2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-0.8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0.128</v>
      </c>
      <c r="AD58" s="124"/>
      <c r="AE58" s="124"/>
      <c r="AF58" s="124"/>
      <c r="AG58" s="124"/>
      <c r="AH58" s="124"/>
      <c r="AI58" s="125"/>
      <c r="AJ58" s="119">
        <f t="shared" ca="1" si="4"/>
        <v>175.28800000000004</v>
      </c>
      <c r="AK58" s="120"/>
      <c r="AL58" s="120"/>
      <c r="AM58" s="120"/>
      <c r="AN58" s="120"/>
      <c r="AO58" s="120"/>
      <c r="AP58" s="121"/>
      <c r="AQ58" s="123">
        <f t="shared" ca="1" si="0"/>
        <v>175.30100000000004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1.3000000000000001E-2</v>
      </c>
      <c r="BE58" s="136"/>
      <c r="BF58" s="136"/>
      <c r="BG58" s="136"/>
      <c r="BH58" s="136"/>
      <c r="BI58" s="136"/>
      <c r="BJ58" s="137"/>
      <c r="BK58" s="132">
        <f t="shared" ca="1" si="5"/>
        <v>0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0.89300000000000002</v>
      </c>
      <c r="AD59" s="158"/>
      <c r="AE59" s="158"/>
      <c r="AF59" s="158"/>
      <c r="AG59" s="158"/>
      <c r="AH59" s="158"/>
      <c r="AI59" s="159"/>
      <c r="AJ59" s="174">
        <f ca="1">AQ58+RANDBETWEEN(15,18)/1000</f>
        <v>175.31900000000005</v>
      </c>
      <c r="AK59" s="175"/>
      <c r="AL59" s="175"/>
      <c r="AM59" s="175"/>
      <c r="AN59" s="175"/>
      <c r="AO59" s="175"/>
      <c r="AP59" s="176"/>
      <c r="AQ59" s="126">
        <f ca="1">AJ59+AW59</f>
        <v>175.34900000000005</v>
      </c>
      <c r="AR59" s="127"/>
      <c r="AS59" s="127"/>
      <c r="AT59" s="127"/>
      <c r="AU59" s="127"/>
      <c r="AV59" s="128"/>
      <c r="AW59" s="123">
        <f ca="1">ROUNDUP(AC59*120/3600,3)</f>
        <v>3.0000000000000002E-2</v>
      </c>
      <c r="AX59" s="130"/>
      <c r="AY59" s="130"/>
      <c r="AZ59" s="130"/>
      <c r="BA59" s="130"/>
      <c r="BB59" s="130"/>
      <c r="BC59" s="131"/>
      <c r="BD59" s="135">
        <f ca="1">AW59+RANDBETWEEN(-5,5)/10000</f>
        <v>2.9800000000000004E-2</v>
      </c>
      <c r="BE59" s="160"/>
      <c r="BF59" s="160"/>
      <c r="BG59" s="160"/>
      <c r="BH59" s="160"/>
      <c r="BI59" s="160"/>
      <c r="BJ59" s="161"/>
      <c r="BK59" s="132">
        <f ca="1">ROUND(((AW59-BD59)/BD59)*100,1)</f>
        <v>0.7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0.90400000000000003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175.36600000000004</v>
      </c>
      <c r="AK60" s="120"/>
      <c r="AL60" s="120"/>
      <c r="AM60" s="120"/>
      <c r="AN60" s="120"/>
      <c r="AO60" s="120"/>
      <c r="AP60" s="121"/>
      <c r="AQ60" s="123">
        <f t="shared" ca="1" si="0"/>
        <v>175.39700000000005</v>
      </c>
      <c r="AR60" s="124"/>
      <c r="AS60" s="124"/>
      <c r="AT60" s="124"/>
      <c r="AU60" s="124"/>
      <c r="AV60" s="125"/>
      <c r="AW60" s="123">
        <f t="shared" ref="AW60:AW61" ca="1" si="7">ROUNDUP(AC60*120/3600,3)</f>
        <v>3.1E-2</v>
      </c>
      <c r="AX60" s="130"/>
      <c r="AY60" s="130"/>
      <c r="AZ60" s="130"/>
      <c r="BA60" s="130"/>
      <c r="BB60" s="130"/>
      <c r="BC60" s="131"/>
      <c r="BD60" s="135">
        <f ca="1">AW60+RANDBETWEEN(-5,5)/10000</f>
        <v>3.09E-2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0.3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0.92100000000000004</v>
      </c>
      <c r="AD61" s="158"/>
      <c r="AE61" s="158"/>
      <c r="AF61" s="158"/>
      <c r="AG61" s="158"/>
      <c r="AH61" s="158"/>
      <c r="AI61" s="159"/>
      <c r="AJ61" s="171">
        <f ca="1">AQ60+RANDBETWEEN(15,18)/1000</f>
        <v>175.41300000000004</v>
      </c>
      <c r="AK61" s="172"/>
      <c r="AL61" s="172"/>
      <c r="AM61" s="172"/>
      <c r="AN61" s="172"/>
      <c r="AO61" s="172"/>
      <c r="AP61" s="173"/>
      <c r="AQ61" s="129">
        <f t="shared" ca="1" si="0"/>
        <v>175.44400000000005</v>
      </c>
      <c r="AR61" s="130"/>
      <c r="AS61" s="130"/>
      <c r="AT61" s="130"/>
      <c r="AU61" s="130"/>
      <c r="AV61" s="131"/>
      <c r="AW61" s="123">
        <f t="shared" ca="1" si="7"/>
        <v>3.1E-2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3.15E-2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-1.6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45932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142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45932</v>
      </c>
      <c r="C9" s="13"/>
      <c r="D9" s="13"/>
      <c r="E9" s="13"/>
    </row>
    <row r="10" spans="1:21" ht="18" x14ac:dyDescent="0.35">
      <c r="A10" s="11" t="s">
        <v>15</v>
      </c>
      <c r="B10" s="76">
        <v>25.4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53.2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102.3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64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64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33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2025-09-21T11:10:05Z</cp:lastPrinted>
  <dcterms:created xsi:type="dcterms:W3CDTF">2015-01-22T18:16:29Z</dcterms:created>
  <dcterms:modified xsi:type="dcterms:W3CDTF">2025-10-08T11:14:09Z</dcterms:modified>
</cp:coreProperties>
</file>