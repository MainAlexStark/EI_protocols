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13_ncr:1_{6F8BE86B-EC71-4F6B-BAAB-22060C8F5FC6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<sst xmlns="http://schemas.openxmlformats.org/spreadsheetml/2006/main" count="499" uniqueCount="271">
  <si>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</si>
  <si>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</si>
  <si>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</si>
  <si>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</si>
  <si>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</si>
  <si>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</si>
  <si>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</si>
  <si>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</si>
  <si>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</si>
  <si>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</si>
  <si>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</si>
  <si>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</si>
  <si>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</si>
  <si>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</si>
  <si>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</si>
  <si>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</si>
  <si>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</si>
  <si>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</si>
  <si>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</si>
  <si>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</si>
  <si>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</si>
  <si>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</si>
  <si>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</si>
  <si>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</si>
  <si>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</si>
  <si>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</si>
  <si>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</si>
  <si>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</si>
  <si>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</si>
  <si>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</si>
  <si>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</si>
  <si>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</si>
  <si>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</si>
  <si>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</si>
  <si>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</si>
  <si>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</si>
  <si>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</si>
  <si>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</si>
  <si>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</si>
  <si>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</si>
  <si>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</si>
  <si>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</si>
  <si>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</si>
  <si>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</si>
  <si>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</si>
  <si>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</si>
  <si>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</si>
  <si>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</si>
  <si>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</si>
  <si>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</si>
  <si>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</si>
  <si>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</si>
  <si>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</si>
  <si>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</si>
  <si>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</si>
  <si>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</si>
  <si>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</si>
  <si>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</si>
  <si>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</si>
  <si>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</si>
  <si>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</si>
  <si>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</si>
  <si>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</si>
  <si>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</si>
  <si>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</si>
  <si>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</si>
  <si>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</si>
  <si>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</si>
  <si>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</si>
  <si>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</si>
  <si>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</si>
  <si>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</si>
  <si>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</si>
  <si>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</si>
  <si>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</si>
  <si>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</si>
  <si>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</si>
  <si>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</si>
  <si>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</si>
  <si>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</si>
  <si>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</si>
  <si>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</si>
  <si>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</si>
  <si>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</si>
  <si>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</si>
  <si>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</si>
  <si>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</si>
  <si>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</si>
  <si>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</si>
  <si>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</si>
  <si>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</si>
  <si>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</si>
  <si>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</si>
  <si>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</si>
  <si>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</si>
  <si>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</si>
  <si>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</si>
  <si>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</si>
  <si>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</si>
  <si>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</si>
  <si>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</si>
  <si>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</si>
  <si>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</si>
  <si>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</si>
  <si>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</si>
  <si>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</si>
  <si>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</si>
  <si>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</si>
  <si>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</si>
  <si>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</si>
  <si>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</si>
  <si>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</si>
  <si>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</si>
  <si>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</si>
  <si>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</si>
  <si>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</si>
  <si>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</si>
  <si>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</si>
  <si>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</si>
  <si>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</si>
  <si>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</si>
  <si>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</si>
  <si>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</si>
  <si>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</si>
  <si>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</si>
  <si>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</si>
  <si>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</si>
  <si>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</si>
  <si>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</si>
  <si>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</si>
  <si>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</si>
  <si>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</si>
  <si>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</si>
  <si>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</si>
  <si>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</si>
  <si>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</si>
  <si>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</si>
  <si>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</si>
  <si>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</si>
  <si>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</si>
  <si>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</si>
  <si>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</si>
  <si>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</si>
  <si>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</si>
  <si>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</si>
  <si>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</si>
  <si>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</si>
  <si>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</si>
  <si>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</si>
  <si>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</si>
  <si>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</si>
  <si>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</si>
  <si>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</si>
  <si>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</si>
  <si>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</si>
  <si>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</si>
  <si>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</si>
  <si>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</si>
  <si>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</si>
  <si>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</si>
  <si>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</si>
  <si>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</si>
  <si>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</si>
  <si>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</si>
  <si>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</si>
  <si>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</si>
  <si>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</si>
  <si>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</si>
  <si>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</si>
  <si>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</si>
  <si>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</si>
  <si>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</si>
  <si>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</si>
  <si>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</si>
  <si>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</si>
  <si>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</si>
  <si>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</si>
  <si>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</si>
  <si>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</si>
  <si>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</si>
  <si>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</si>
  <si>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</si>
  <si>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</si>
  <si>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</si>
  <si>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</si>
  <si>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</si>
  <si>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</si>
  <si>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</si>
  <si>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</si>
  <si>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</si>
  <si>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</si>
  <si>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</si>
  <si>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</si>
  <si>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</si>
  <si>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</si>
  <si>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</si>
  <si>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</si>
  <si>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</si>
  <si>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</si>
  <si>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</si>
  <si>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</si>
  <si>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</si>
  <si>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</si>
  <si>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</si>
  <si>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</si>
  <si>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</si>
  <si>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</si>
  <si>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</si>
  <si>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</si>
  <si>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</si>
  <si>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</si>
  <si>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</si>
  <si>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</si>
  <si>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</si>
  <si>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</si>
  <si>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</si>
  <si>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</si>
  <si>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</si>
  <si>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</si>
  <si>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</si>
  <si>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</si>
  <si>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</si>
  <si>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</si>
  <si>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</si>
  <si>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</si>
  <si>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</si>
  <si>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</si>
  <si>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</si>
  <si>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</si>
  <si>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</si>
  <si>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</si>
  <si>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</si>
  <si>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</si>
  <si>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</si>
  <si>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</si>
  <si>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</si>
  <si>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</si>
  <si>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</si>
  <si>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</si>
  <si>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</si>
  <si>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</si>
  <si>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</si>
  <si>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</si>
  <si>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</si>
  <si>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</si>
  <si>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</si>
  <si>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</si>
  <si>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</si>
  <si>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</si>
  <si>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</si>
  <si>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</si>
  <si>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</si>
  <si>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</si>
  <si>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</si>
  <si>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</si>
  <si>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</si>
  <si>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</si>
  <si>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</si>
  <si>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</si>
  <si>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</si>
  <si>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</si>
  <si>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</si>
  <si>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</si>
  <si>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</si>
  <si>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</si>
  <si>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</si>
  <si>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</si>
  <si>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Казанская, 107-6</t>
  </si>
  <si>
    <t>19-0233126</t>
  </si>
  <si>
    <t>01245</t>
  </si>
  <si>
    <t>8,712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</si>
</sst>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№ЕИ-04/02-01245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ПУЛЬС, год изготовления 2019, заводской № 19-0233126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68501-17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Казанская, 107-6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25.4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23.099999999999998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53.2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62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102.3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102.3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46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46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0.03</v>
      </c>
      <c r="AD53" s="124"/>
      <c r="AE53" s="124"/>
      <c r="AF53" s="124"/>
      <c r="AG53" s="124"/>
      <c r="AH53" s="124"/>
      <c r="AI53" s="125"/>
      <c r="AJ53" s="122" t="str">
        <f>Данные!B5</f>
        <v>8,712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8.718</v>
      </c>
      <c r="AR53" s="124"/>
      <c r="AS53" s="124"/>
      <c r="AT53" s="124"/>
      <c r="AU53" s="124"/>
      <c r="AV53" s="125"/>
      <c r="AW53" s="123">
        <f ca="1">ROUNDUP(AC53*720/3600,3)</f>
        <v>6.0000000000000001E-3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6.3E-3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-4.8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3.1E-2</v>
      </c>
      <c r="AD54" s="124"/>
      <c r="AE54" s="124"/>
      <c r="AF54" s="124"/>
      <c r="AG54" s="124"/>
      <c r="AH54" s="124"/>
      <c r="AI54" s="125"/>
      <c r="AJ54" s="123">
        <f ca="1">AQ53+RANDBETWEEN(1,3)/1000</f>
        <v>8.7200000000000006</v>
      </c>
      <c r="AK54" s="124"/>
      <c r="AL54" s="124"/>
      <c r="AM54" s="124"/>
      <c r="AN54" s="124"/>
      <c r="AO54" s="124"/>
      <c r="AP54" s="125"/>
      <c r="AQ54" s="123">
        <f t="shared" ca="1" si="0"/>
        <v>8.7270000000000003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6.8999999999999999E-3</v>
      </c>
      <c r="BE54" s="136"/>
      <c r="BF54" s="136"/>
      <c r="BG54" s="136"/>
      <c r="BH54" s="136"/>
      <c r="BI54" s="136"/>
      <c r="BJ54" s="137"/>
      <c r="BK54" s="132">
        <f t="shared" ca="1" si="1"/>
        <v>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8.73</v>
      </c>
      <c r="AK55" s="120"/>
      <c r="AL55" s="120"/>
      <c r="AM55" s="120"/>
      <c r="AN55" s="120"/>
      <c r="AO55" s="120"/>
      <c r="AP55" s="121"/>
      <c r="AQ55" s="123">
        <f t="shared" ca="1" si="0"/>
        <v>8.7360000000000007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5.8000000000000005E-3</v>
      </c>
      <c r="BE55" s="136"/>
      <c r="BF55" s="136"/>
      <c r="BG55" s="136"/>
      <c r="BH55" s="136"/>
      <c r="BI55" s="136"/>
      <c r="BJ55" s="137"/>
      <c r="BK55" s="132">
        <f t="shared" ca="1" si="1"/>
        <v>3.4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0.13400000000000001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8.7410000000000014</v>
      </c>
      <c r="AK56" s="120"/>
      <c r="AL56" s="120"/>
      <c r="AM56" s="120"/>
      <c r="AN56" s="120"/>
      <c r="AO56" s="120"/>
      <c r="AP56" s="121"/>
      <c r="AQ56" s="123">
        <f t="shared" ca="1" si="0"/>
        <v>8.7550000000000008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1.4099999999999998E-2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-0.7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0.13300000000000001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8.7600000000000016</v>
      </c>
      <c r="AK57" s="120"/>
      <c r="AL57" s="120"/>
      <c r="AM57" s="120"/>
      <c r="AN57" s="120"/>
      <c r="AO57" s="120"/>
      <c r="AP57" s="121"/>
      <c r="AQ57" s="123">
        <f t="shared" ca="1" si="0"/>
        <v>8.7740000000000009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1.3999999999999999E-2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0.13300000000000001</v>
      </c>
      <c r="AD58" s="124"/>
      <c r="AE58" s="124"/>
      <c r="AF58" s="124"/>
      <c r="AG58" s="124"/>
      <c r="AH58" s="124"/>
      <c r="AI58" s="125"/>
      <c r="AJ58" s="119">
        <f t="shared" ca="1" si="4"/>
        <v>8.7800000000000011</v>
      </c>
      <c r="AK58" s="120"/>
      <c r="AL58" s="120"/>
      <c r="AM58" s="120"/>
      <c r="AN58" s="120"/>
      <c r="AO58" s="120"/>
      <c r="AP58" s="121"/>
      <c r="AQ58" s="123">
        <f t="shared" ca="1" si="0"/>
        <v>8.7940000000000005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1.3799999999999998E-2</v>
      </c>
      <c r="BE58" s="136"/>
      <c r="BF58" s="136"/>
      <c r="BG58" s="136"/>
      <c r="BH58" s="136"/>
      <c r="BI58" s="136"/>
      <c r="BJ58" s="137"/>
      <c r="BK58" s="132">
        <f t="shared" ca="1" si="5"/>
        <v>1.4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0.91900000000000004</v>
      </c>
      <c r="AD59" s="158"/>
      <c r="AE59" s="158"/>
      <c r="AF59" s="158"/>
      <c r="AG59" s="158"/>
      <c r="AH59" s="158"/>
      <c r="AI59" s="159"/>
      <c r="AJ59" s="174">
        <f ca="1">AQ58+RANDBETWEEN(15,18)/1000</f>
        <v>8.81</v>
      </c>
      <c r="AK59" s="175"/>
      <c r="AL59" s="175"/>
      <c r="AM59" s="175"/>
      <c r="AN59" s="175"/>
      <c r="AO59" s="175"/>
      <c r="AP59" s="176"/>
      <c r="AQ59" s="126">
        <f ca="1">AJ59+AW59</f>
        <v>8.8410000000000011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3.0499999999999999E-2</v>
      </c>
      <c r="BE59" s="160"/>
      <c r="BF59" s="160"/>
      <c r="BG59" s="160"/>
      <c r="BH59" s="160"/>
      <c r="BI59" s="160"/>
      <c r="BJ59" s="161"/>
      <c r="BK59" s="132">
        <f ca="1">ROUND(((AW59-BD59)/BD59)*100,1)</f>
        <v>1.6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0.94299999999999995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8.8580000000000005</v>
      </c>
      <c r="AK60" s="120"/>
      <c r="AL60" s="120"/>
      <c r="AM60" s="120"/>
      <c r="AN60" s="120"/>
      <c r="AO60" s="120"/>
      <c r="AP60" s="121"/>
      <c r="AQ60" s="123">
        <f t="shared" ca="1" si="0"/>
        <v>8.89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3.1800000000000002E-2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0.6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0.91600000000000004</v>
      </c>
      <c r="AD61" s="158"/>
      <c r="AE61" s="158"/>
      <c r="AF61" s="158"/>
      <c r="AG61" s="158"/>
      <c r="AH61" s="158"/>
      <c r="AI61" s="159"/>
      <c r="AJ61" s="171">
        <f ca="1">AQ60+RANDBETWEEN(15,18)/1000</f>
        <v>8.9060000000000006</v>
      </c>
      <c r="AK61" s="172"/>
      <c r="AL61" s="172"/>
      <c r="AM61" s="172"/>
      <c r="AN61" s="172"/>
      <c r="AO61" s="172"/>
      <c r="AP61" s="173"/>
      <c r="AQ61" s="129">
        <f t="shared" ca="1" si="0"/>
        <v>8.9370000000000012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3.09E-2</v>
      </c>
      <c r="BE61" s="160"/>
      <c r="BF61" s="160"/>
      <c r="BG61" s="160"/>
      <c r="BH61" s="160"/>
      <c r="BI61" s="160"/>
      <c r="BJ61" s="161"/>
      <c r="BK61" s="132">
        <f ca="1">ROUND(((AW61-BD61)/BD61)*100,1)</f>
        <v>0.3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45932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178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269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45932</v>
      </c>
      <c r="C9" s="13"/>
      <c r="D9" s="13"/>
      <c r="E9" s="13"/>
    </row>
    <row r="10" spans="1:21" ht="18" x14ac:dyDescent="0.35">
      <c r="A10" s="11" t="s">
        <v>15</v>
      </c>
      <c r="B10" s="76">
        <v>25.4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53.2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102.3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46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46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2025-09-30T16:57:13Z</cp:lastPrinted>
  <dcterms:created xsi:type="dcterms:W3CDTF">2015-01-22T18:16:29Z</dcterms:created>
  <dcterms:modified xsi:type="dcterms:W3CDTF">2025-10-08T11:45:40Z</dcterms:modified>
</cp:coreProperties>
</file>