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13_ncr:1_{4A7AFE39-CFE1-4BF6-9AD9-3189DC4AF8B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<sst xmlns="http://schemas.openxmlformats.org/spreadsheetml/2006/main" count="505" uniqueCount="273">
  <si>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</si>
  <si>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</si>
  <si>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</si>
  <si>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</si>
  <si>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</si>
  <si>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</si>
  <si>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</si>
  <si>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</si>
  <si>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</si>
  <si>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</si>
  <si>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</si>
  <si>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</si>
  <si>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</si>
  <si>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</si>
  <si>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</si>
  <si>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</si>
  <si>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</si>
  <si>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</si>
  <si>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</si>
  <si>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</si>
  <si>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</si>
  <si>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</si>
  <si>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</si>
  <si>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</si>
  <si>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</si>
  <si>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</si>
  <si>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</si>
  <si>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</si>
  <si>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</si>
  <si>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</si>
  <si>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</si>
  <si>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</si>
  <si>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</si>
  <si>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</si>
  <si>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</si>
  <si>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</si>
  <si>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</si>
  <si>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</si>
  <si>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</si>
  <si>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</si>
  <si>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</si>
  <si>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</si>
  <si>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</si>
  <si>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</si>
  <si>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</si>
  <si>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</si>
  <si>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</si>
  <si>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</si>
  <si>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</si>
  <si>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</si>
  <si>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</si>
  <si>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</si>
  <si>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</si>
  <si>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</si>
  <si>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</si>
  <si>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</si>
  <si>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</si>
  <si>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</si>
  <si>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</si>
  <si>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</si>
  <si>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</si>
  <si>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</si>
  <si>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</si>
  <si>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</si>
  <si>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</si>
  <si>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</si>
  <si>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</si>
  <si>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</si>
  <si>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</si>
  <si>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</si>
  <si>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</si>
  <si>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</si>
  <si>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</si>
  <si>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</si>
  <si>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</si>
  <si>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</si>
  <si>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</si>
  <si>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</si>
  <si>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</si>
  <si>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</si>
  <si>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</si>
  <si>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</si>
  <si>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</si>
  <si>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</si>
  <si>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</si>
  <si>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</si>
  <si>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</si>
  <si>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</si>
  <si>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</si>
  <si>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</si>
  <si>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</si>
  <si>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</si>
  <si>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</si>
  <si>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</si>
  <si>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</si>
  <si>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</si>
  <si>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</si>
  <si>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</si>
  <si>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</si>
  <si>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</si>
  <si>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</si>
  <si>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</si>
  <si>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</si>
  <si>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</si>
  <si>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</si>
  <si>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</si>
  <si>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</si>
  <si>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</si>
  <si>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</si>
  <si>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</si>
  <si>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</si>
  <si>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</si>
  <si>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</si>
  <si>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</si>
  <si>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</si>
  <si>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</si>
  <si>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</si>
  <si>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</si>
  <si>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</si>
  <si>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</si>
  <si>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</si>
  <si>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</si>
  <si>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</si>
  <si>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</si>
  <si>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</si>
  <si>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</si>
  <si>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</si>
  <si>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</si>
  <si>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</si>
  <si>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</si>
  <si>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</si>
  <si>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</si>
  <si>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</si>
  <si>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</si>
  <si>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</si>
  <si>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</si>
  <si>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</si>
  <si>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</si>
  <si>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</si>
  <si>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</si>
  <si>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</si>
  <si>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</si>
  <si>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</si>
  <si>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</si>
  <si>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</si>
  <si>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</si>
  <si>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</si>
  <si>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</si>
  <si>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</si>
  <si>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</si>
  <si>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</si>
  <si>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</si>
  <si>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</si>
  <si>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</si>
  <si>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</si>
  <si>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</si>
  <si>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</si>
  <si>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</si>
  <si>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</si>
  <si>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</si>
  <si>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</si>
  <si>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</si>
  <si>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</si>
  <si>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</si>
  <si>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</si>
  <si>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</si>
  <si>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</si>
  <si>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</si>
  <si>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</si>
  <si>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</si>
  <si>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</si>
  <si>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</si>
  <si>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</si>
  <si>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</si>
  <si>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</si>
  <si>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</si>
  <si>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</si>
  <si>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</si>
  <si>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</si>
  <si>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</si>
  <si>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</si>
  <si>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</si>
  <si>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</si>
  <si>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</si>
  <si>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</si>
  <si>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</si>
  <si>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</si>
  <si>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</si>
  <si>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</si>
  <si>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</si>
  <si>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</si>
  <si>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</si>
  <si>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</si>
  <si>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</si>
  <si>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</si>
  <si>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</si>
  <si>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</si>
  <si>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</si>
  <si>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</si>
  <si>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</si>
  <si>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</si>
  <si>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</si>
  <si>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</si>
  <si>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</si>
  <si>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</si>
  <si>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</si>
  <si>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</si>
  <si>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</si>
  <si>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</si>
  <si>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</si>
  <si>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</si>
  <si>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</si>
  <si>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</si>
  <si>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</si>
  <si>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</si>
  <si>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</si>
  <si>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</si>
  <si>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</si>
  <si>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</si>
  <si>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</si>
  <si>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</si>
  <si>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</si>
  <si>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</si>
  <si>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</si>
  <si>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</si>
  <si>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</si>
  <si>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</si>
  <si>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</si>
  <si>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</si>
  <si>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</si>
  <si>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</si>
  <si>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</si>
  <si>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</si>
  <si>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</si>
  <si>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</si>
  <si>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</si>
  <si>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</si>
  <si>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</si>
  <si>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</si>
  <si>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</si>
  <si>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</si>
  <si>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</si>
  <si>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</si>
  <si>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</si>
  <si>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</si>
  <si>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</si>
  <si>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</si>
  <si>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</si>
  <si>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</si>
  <si>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</si>
  <si>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</si>
  <si>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</si>
  <si>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</si>
  <si>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</si>
  <si>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</si>
  <si>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</si>
  <si>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</si>
  <si>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</si>
  <si>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</si>
  <si>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</si>
  <si>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</si>
  <si>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</si>
  <si>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</si>
  <si>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</si>
  <si>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</si>
  <si>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</si>
  <si>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</si>
  <si>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</si>
  <si>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</si>
  <si>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1012107340001</t>
  </si>
  <si>
    <t>01324</t>
  </si>
  <si>
    <t>397,803</t>
  </si>
  <si>
    <t>Яранский район, с.Рождественское, ул.Молодежная 38-1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</si>
</sst>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8" sqref="A8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№ЕИ-04/02-01324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2012, заводской № 1012107340001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с.Рождественское, ул.Молодежная 38-1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19.899999999999999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60.1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67.2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109.5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109.5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397,803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397.81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3.1E-2</v>
      </c>
      <c r="AD54" s="124"/>
      <c r="AE54" s="124"/>
      <c r="AF54" s="124"/>
      <c r="AG54" s="124"/>
      <c r="AH54" s="124"/>
      <c r="AI54" s="125"/>
      <c r="AJ54" s="123">
        <f ca="1">AQ53+RANDBETWEEN(1,3)/1000</f>
        <v>397.81299999999999</v>
      </c>
      <c r="AK54" s="124"/>
      <c r="AL54" s="124"/>
      <c r="AM54" s="124"/>
      <c r="AN54" s="124"/>
      <c r="AO54" s="124"/>
      <c r="AP54" s="125"/>
      <c r="AQ54" s="123">
        <f t="shared" ca="1" si="0"/>
        <v>397.82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6.8999999999999999E-3</v>
      </c>
      <c r="BE54" s="136"/>
      <c r="BF54" s="136"/>
      <c r="BG54" s="136"/>
      <c r="BH54" s="136"/>
      <c r="BI54" s="136"/>
      <c r="BJ54" s="137"/>
      <c r="BK54" s="132">
        <f t="shared" ca="1" si="1"/>
        <v>1.4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3.1E-2</v>
      </c>
      <c r="AD55" s="124"/>
      <c r="AE55" s="124"/>
      <c r="AF55" s="124"/>
      <c r="AG55" s="124"/>
      <c r="AH55" s="124"/>
      <c r="AI55" s="125"/>
      <c r="AJ55" s="122">
        <f ca="1">AQ54+RANDBETWEEN(1,3)/1000</f>
        <v>397.82299999999998</v>
      </c>
      <c r="AK55" s="120"/>
      <c r="AL55" s="120"/>
      <c r="AM55" s="120"/>
      <c r="AN55" s="120"/>
      <c r="AO55" s="120"/>
      <c r="AP55" s="121"/>
      <c r="AQ55" s="123">
        <f t="shared" ca="1" si="0"/>
        <v>397.83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7.1000000000000004E-3</v>
      </c>
      <c r="BE55" s="136"/>
      <c r="BF55" s="136"/>
      <c r="BG55" s="136"/>
      <c r="BH55" s="136"/>
      <c r="BI55" s="136"/>
      <c r="BJ55" s="137"/>
      <c r="BK55" s="132">
        <f t="shared" ca="1" si="1"/>
        <v>-1.4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</v>
      </c>
      <c r="AD56" s="124"/>
      <c r="AE56" s="124"/>
      <c r="AF56" s="124"/>
      <c r="AG56" s="124"/>
      <c r="AH56" s="124"/>
      <c r="AI56" s="125"/>
      <c r="AJ56" s="119">
        <f ca="1">AQ55+RANDBETWEEN(4,7)/1000</f>
        <v>397.83699999999999</v>
      </c>
      <c r="AK56" s="120"/>
      <c r="AL56" s="120"/>
      <c r="AM56" s="120"/>
      <c r="AN56" s="120"/>
      <c r="AO56" s="120"/>
      <c r="AP56" s="121"/>
      <c r="AQ56" s="123">
        <f t="shared" ca="1" si="0"/>
        <v>397.84999999999997</v>
      </c>
      <c r="AR56" s="124"/>
      <c r="AS56" s="124"/>
      <c r="AT56" s="124"/>
      <c r="AU56" s="124"/>
      <c r="AV56" s="125"/>
      <c r="AW56" s="123">
        <f ca="1">ROUNDUP(AC56*360/3600,3)</f>
        <v>1.2999999999999999E-2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1.3099999999999999E-2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397.85499999999996</v>
      </c>
      <c r="AK57" s="120"/>
      <c r="AL57" s="120"/>
      <c r="AM57" s="120"/>
      <c r="AN57" s="120"/>
      <c r="AO57" s="120"/>
      <c r="AP57" s="121"/>
      <c r="AQ57" s="123">
        <f t="shared" ca="1" si="0"/>
        <v>397.86799999999994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397.87499999999994</v>
      </c>
      <c r="AK58" s="120"/>
      <c r="AL58" s="120"/>
      <c r="AM58" s="120"/>
      <c r="AN58" s="120"/>
      <c r="AO58" s="120"/>
      <c r="AP58" s="121"/>
      <c r="AQ58" s="123">
        <f t="shared" ca="1" si="0"/>
        <v>397.88799999999992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1.3200000000000002E-2</v>
      </c>
      <c r="BE58" s="136"/>
      <c r="BF58" s="136"/>
      <c r="BG58" s="136"/>
      <c r="BH58" s="136"/>
      <c r="BI58" s="136"/>
      <c r="BJ58" s="137"/>
      <c r="BK58" s="132">
        <f t="shared" ca="1" si="5"/>
        <v>-1.5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0.91900000000000004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397.90599999999989</v>
      </c>
      <c r="AK59" s="175"/>
      <c r="AL59" s="175"/>
      <c r="AM59" s="175"/>
      <c r="AN59" s="175"/>
      <c r="AO59" s="175"/>
      <c r="AP59" s="176"/>
      <c r="AQ59" s="126">
        <f ca="1">AJ59+AW59</f>
        <v>397.9369999999999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3.1399999999999997E-2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0.89600000000000002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397.95399999999989</v>
      </c>
      <c r="AK60" s="120"/>
      <c r="AL60" s="120"/>
      <c r="AM60" s="120"/>
      <c r="AN60" s="120"/>
      <c r="AO60" s="120"/>
      <c r="AP60" s="121"/>
      <c r="AQ60" s="123">
        <f t="shared" ca="1" si="0"/>
        <v>397.98399999999987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2.9500000000000002E-2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1.7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0.95199999999999996</v>
      </c>
      <c r="AD61" s="158"/>
      <c r="AE61" s="158"/>
      <c r="AF61" s="158"/>
      <c r="AG61" s="158"/>
      <c r="AH61" s="158"/>
      <c r="AI61" s="159"/>
      <c r="AJ61" s="171">
        <f ca="1">AQ60+RANDBETWEEN(15,18)/1000</f>
        <v>398.00199999999984</v>
      </c>
      <c r="AK61" s="172"/>
      <c r="AL61" s="172"/>
      <c r="AM61" s="172"/>
      <c r="AN61" s="172"/>
      <c r="AO61" s="172"/>
      <c r="AP61" s="173"/>
      <c r="AQ61" s="129">
        <f t="shared" ca="1" si="0"/>
        <v>398.03399999999982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3.2500000000000001E-2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-1.5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45946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A25" sqref="A2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270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2025-10-19T12:22:57Z</cp:lastPrinted>
  <dcterms:created xsi:type="dcterms:W3CDTF">2015-01-22T18:16:29Z</dcterms:created>
  <dcterms:modified xsi:type="dcterms:W3CDTF">2025-10-19T12:24:11Z</dcterms:modified>
</cp:coreProperties>
</file>