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8_{C5924468-7191-4F45-B7CD-A1EF3E4AAEA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<sst xmlns="http://schemas.openxmlformats.org/spreadsheetml/2006/main" count="407" uniqueCount="238">
  <si>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</si>
  <si>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</si>
  <si>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</si>
  <si>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</si>
  <si>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</si>
  <si>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</si>
  <si>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</si>
  <si>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</si>
  <si>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</si>
  <si>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</si>
  <si>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</si>
  <si>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</si>
  <si>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</si>
  <si>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</si>
  <si>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</si>
  <si>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</si>
  <si>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</si>
  <si>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</si>
  <si>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</si>
  <si>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</si>
  <si>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</si>
  <si>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</si>
  <si>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</si>
  <si>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</si>
  <si>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</si>
  <si>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</si>
  <si>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</si>
  <si>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</si>
  <si>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</si>
  <si>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</si>
  <si>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</si>
  <si>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</si>
  <si>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</si>
  <si>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</si>
  <si>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</si>
  <si>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</si>
  <si>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</si>
  <si>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</si>
  <si>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</si>
  <si>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</si>
  <si>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</si>
  <si>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</si>
  <si>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</si>
  <si>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</si>
  <si>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</si>
  <si>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</si>
  <si>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</si>
  <si>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</si>
  <si>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</si>
  <si>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</si>
  <si>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</si>
  <si>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</si>
  <si>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</si>
  <si>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</si>
  <si>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</si>
  <si>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</si>
  <si>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</si>
  <si>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</si>
  <si>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</si>
  <si>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</si>
  <si>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</si>
  <si>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</si>
  <si>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</si>
  <si>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</si>
  <si>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</si>
  <si>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</si>
  <si>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</si>
  <si>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</si>
  <si>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</si>
  <si>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</si>
  <si>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</si>
  <si>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</si>
  <si>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</si>
  <si>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</si>
  <si>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</si>
  <si>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</si>
  <si>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</si>
  <si>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</si>
  <si>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</si>
  <si>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</si>
  <si>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</si>
  <si>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</si>
  <si>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</si>
  <si>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</si>
  <si>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</si>
  <si>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</si>
  <si>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</si>
  <si>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</si>
  <si>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</si>
  <si>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</si>
  <si>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</si>
  <si>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</si>
  <si>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</si>
  <si>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</si>
  <si>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</si>
  <si>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</si>
  <si>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</si>
  <si>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</si>
  <si>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</si>
  <si>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</si>
  <si>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</si>
  <si>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</si>
  <si>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</si>
  <si>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</si>
  <si>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</si>
  <si>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</si>
  <si>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</si>
  <si>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</si>
  <si>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</si>
  <si>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</si>
  <si>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</si>
  <si>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</si>
  <si>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</si>
  <si>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</si>
  <si>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</si>
  <si>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</si>
  <si>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</si>
  <si>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</si>
  <si>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</si>
  <si>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</si>
  <si>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</si>
  <si>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</si>
  <si>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</si>
  <si>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</si>
  <si>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</si>
  <si>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</si>
  <si>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</si>
  <si>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</si>
  <si>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</si>
  <si>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</si>
  <si>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</si>
  <si>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</si>
  <si>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</si>
  <si>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</si>
  <si>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</si>
  <si>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</si>
  <si>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</si>
  <si>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</si>
  <si>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</si>
  <si>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</si>
  <si>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</si>
  <si>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</si>
  <si>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</si>
  <si>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</si>
  <si>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</si>
  <si>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</si>
  <si>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</si>
  <si>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</si>
  <si>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</si>
  <si>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</si>
  <si>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</si>
  <si>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</si>
  <si>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</si>
  <si>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</si>
  <si>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</si>
  <si>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</si>
  <si>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</si>
  <si>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</si>
  <si>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</si>
  <si>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</si>
  <si>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</si>
  <si>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</si>
  <si>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</si>
  <si>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</si>
  <si>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</si>
  <si>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</si>
  <si>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</si>
  <si>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</si>
  <si>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</si>
  <si>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</si>
  <si>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</si>
  <si>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</si>
  <si>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</si>
  <si>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</si>
  <si>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</si>
  <si>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</si>
  <si>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</si>
  <si>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</si>
  <si>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</si>
  <si>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</si>
  <si>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</si>
  <si>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</si>
  <si>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</si>
  <si>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</si>
  <si>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</si>
  <si>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</si>
  <si>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</si>
  <si>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</si>
  <si>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</si>
  <si>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</si>
  <si>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</si>
  <si>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</si>
  <si>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</si>
  <si>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</si>
  <si>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</si>
  <si>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</si>
  <si>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</si>
  <si>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</si>
  <si>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</si>
  <si>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</si>
  <si>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</si>
  <si>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</si>
  <si>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</si>
  <si>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</si>
  <si>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</si>
  <si>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</si>
  <si>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</si>
  <si>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</si>
  <si>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</si>
  <si>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</si>
  <si>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</si>
  <si>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</si>
  <si>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</si>
  <si>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</si>
  <si>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</si>
  <si>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</si>
  <si>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</si>
  <si>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</si>
  <si>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</si>
  <si>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</si>
  <si>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</si>
  <si>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</si>
  <si>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</si>
  <si>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</si>
  <si>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</si>
  <si>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</si>
  <si>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</si>
  <si>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</si>
  <si>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</si>
  <si>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</si>
  <si>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</si>
  <si>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</si>
  <si>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</si>
  <si>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</si>
  <si>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г.Яранск, ул.Заводская 10/5-7</t>
  </si>
  <si>
    <t>01277</t>
  </si>
  <si>
    <t>39593494</t>
  </si>
  <si>
    <t>233,715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</si>
</sst>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№ЕИ-04/02-01277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39593494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ул.Заводская 10/5-7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21.6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22.6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58.5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66.7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106.3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106.3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0.03</v>
      </c>
      <c r="AD53" s="129"/>
      <c r="AE53" s="129"/>
      <c r="AF53" s="129"/>
      <c r="AG53" s="129"/>
      <c r="AH53" s="129"/>
      <c r="AI53" s="130"/>
      <c r="AJ53" s="199" t="str">
        <f>Данные!B6</f>
        <v>233,715</v>
      </c>
      <c r="AK53" s="199"/>
      <c r="AL53" s="199"/>
      <c r="AM53" s="199"/>
      <c r="AN53" s="199"/>
      <c r="AO53" s="199"/>
      <c r="AP53" s="90"/>
      <c r="AQ53" s="198">
        <f ca="1">AJ53+AW53</f>
        <v>233.721</v>
      </c>
      <c r="AR53" s="198"/>
      <c r="AS53" s="198"/>
      <c r="AT53" s="198"/>
      <c r="AU53" s="198"/>
      <c r="AV53" s="198"/>
      <c r="AW53" s="128">
        <f ca="1">ROUNDUP(AC53*720/3600,3)</f>
        <v>6.0000000000000001E-3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5.8999999999999999E-3</v>
      </c>
      <c r="BE53" s="126"/>
      <c r="BF53" s="126"/>
      <c r="BG53" s="126"/>
      <c r="BH53" s="126"/>
      <c r="BI53" s="126"/>
      <c r="BJ53" s="127"/>
      <c r="BK53" s="101">
        <f ca="1">ROUND(((AW53-BD53)/BD53)*100,1)</f>
        <v>1.7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0.126</v>
      </c>
      <c r="AD54" s="129"/>
      <c r="AE54" s="129"/>
      <c r="AF54" s="129"/>
      <c r="AG54" s="129"/>
      <c r="AH54" s="129"/>
      <c r="AI54" s="130"/>
      <c r="AJ54" s="183">
        <f ca="1">AQ53+RANDBETWEEN(4,7)/1000</f>
        <v>233.72499999999999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233.738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1.3100000000000001E-2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-0.8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0.94699999999999995</v>
      </c>
      <c r="AD55" s="148"/>
      <c r="AE55" s="148"/>
      <c r="AF55" s="148"/>
      <c r="AG55" s="148"/>
      <c r="AH55" s="148"/>
      <c r="AI55" s="149"/>
      <c r="AJ55" s="183">
        <f ca="1">AQ54+RANDBETWEEN(15,18)/1000</f>
        <v>233.75399999999999</v>
      </c>
      <c r="AK55" s="183"/>
      <c r="AL55" s="183"/>
      <c r="AM55" s="183"/>
      <c r="AN55" s="183"/>
      <c r="AO55" s="183"/>
      <c r="AP55" s="90"/>
      <c r="AQ55" s="128">
        <f t="shared" ca="1" si="0"/>
        <v>233.786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3.1899999999999998E-2</v>
      </c>
      <c r="BE55" s="150"/>
      <c r="BF55" s="150"/>
      <c r="BG55" s="150"/>
      <c r="BH55" s="150"/>
      <c r="BI55" s="150"/>
      <c r="BJ55" s="151"/>
      <c r="BK55" s="101">
        <f ca="1">ROUND(((AW55-BD55)/BD55)*100,1)</f>
        <v>0.3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45943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Normal="100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236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45943</v>
      </c>
      <c r="C10" s="13"/>
      <c r="D10" s="13"/>
      <c r="E10" s="13"/>
    </row>
    <row r="11" spans="1:21" ht="18" x14ac:dyDescent="0.35">
      <c r="A11" s="11" t="s">
        <v>15</v>
      </c>
      <c r="B11" s="76">
        <v>21.6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106.3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2025-10-18T10:40:16Z</cp:lastPrinted>
  <dcterms:created xsi:type="dcterms:W3CDTF">2015-01-22T18:16:29Z</dcterms:created>
  <dcterms:modified xsi:type="dcterms:W3CDTF">2025-10-18T10:44:59Z</dcterms:modified>
</cp:coreProperties>
</file>