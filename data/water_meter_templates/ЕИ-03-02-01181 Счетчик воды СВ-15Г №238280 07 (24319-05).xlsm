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B7751F30-5695-4651-B432-2DEE769526C0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<sst xmlns="http://schemas.openxmlformats.org/spreadsheetml/2006/main" count="499" uniqueCount="271">
  <si>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</si>
  <si>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</si>
  <si>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</si>
  <si>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</si>
  <si>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</si>
  <si>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</si>
  <si>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</si>
  <si>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</si>
  <si>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</si>
  <si>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</si>
  <si>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</si>
  <si>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</si>
  <si>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</si>
  <si>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</si>
  <si>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</si>
  <si>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</si>
  <si>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</si>
  <si>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</si>
  <si>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</si>
  <si>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</si>
  <si>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</si>
  <si>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</si>
  <si>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</si>
  <si>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</si>
  <si>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</si>
  <si>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</si>
  <si>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</si>
  <si>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</si>
  <si>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</si>
  <si>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</si>
  <si>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</si>
  <si>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</si>
  <si>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</si>
  <si>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</si>
  <si>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</si>
  <si>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</si>
  <si>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</si>
  <si>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</si>
  <si>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</si>
  <si>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</si>
  <si>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</si>
  <si>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</si>
  <si>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</si>
  <si>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</si>
  <si>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</si>
  <si>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</si>
  <si>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</si>
  <si>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</si>
  <si>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</si>
  <si>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</si>
  <si>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</si>
  <si>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</si>
  <si>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</si>
  <si>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</si>
  <si>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</si>
  <si>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</si>
  <si>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</si>
  <si>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</si>
  <si>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</si>
  <si>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</si>
  <si>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</si>
  <si>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</si>
  <si>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</si>
  <si>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</si>
  <si>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</si>
  <si>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</si>
  <si>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</si>
  <si>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</si>
  <si>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</si>
  <si>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</si>
  <si>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</si>
  <si>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</si>
  <si>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</si>
  <si>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</si>
  <si>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</si>
  <si>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</si>
  <si>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</si>
  <si>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</si>
  <si>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</si>
  <si>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</si>
  <si>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</si>
  <si>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</si>
  <si>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</si>
  <si>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</si>
  <si>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</si>
  <si>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</si>
  <si>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</si>
  <si>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</si>
  <si>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</si>
  <si>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</si>
  <si>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</si>
  <si>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</si>
  <si>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</si>
  <si>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</si>
  <si>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</si>
  <si>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</si>
  <si>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</si>
  <si>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</si>
  <si>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</si>
  <si>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</si>
  <si>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</si>
  <si>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</si>
  <si>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</si>
  <si>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</si>
  <si>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</si>
  <si>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</si>
  <si>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</si>
  <si>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</si>
  <si>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</si>
  <si>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</si>
  <si>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</si>
  <si>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</si>
  <si>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</si>
  <si>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</si>
  <si>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</si>
  <si>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</si>
  <si>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</si>
  <si>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</si>
  <si>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</si>
  <si>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</si>
  <si>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</si>
  <si>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</si>
  <si>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</si>
  <si>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</si>
  <si>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</si>
  <si>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</si>
  <si>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</si>
  <si>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</si>
  <si>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</si>
  <si>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</si>
  <si>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</si>
  <si>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</si>
  <si>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</si>
  <si>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</si>
  <si>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</si>
  <si>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</si>
  <si>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</si>
  <si>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</si>
  <si>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</si>
  <si>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</si>
  <si>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</si>
  <si>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</si>
  <si>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</si>
  <si>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</si>
  <si>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</si>
  <si>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</si>
  <si>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</si>
  <si>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</si>
  <si>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</si>
  <si>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</si>
  <si>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</si>
  <si>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</si>
  <si>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</si>
  <si>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</si>
  <si>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</si>
  <si>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</si>
  <si>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</si>
  <si>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</si>
  <si>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</si>
  <si>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</si>
  <si>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</si>
  <si>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</si>
  <si>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</si>
  <si>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</si>
  <si>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</si>
  <si>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</si>
  <si>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</si>
  <si>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</si>
  <si>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</si>
  <si>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</si>
  <si>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</si>
  <si>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</si>
  <si>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</si>
  <si>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</si>
  <si>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</si>
  <si>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</si>
  <si>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</si>
  <si>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</si>
  <si>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</si>
  <si>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</si>
  <si>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</si>
  <si>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</si>
  <si>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</si>
  <si>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</si>
  <si>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</si>
  <si>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</si>
  <si>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</si>
  <si>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</si>
  <si>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</si>
  <si>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</si>
  <si>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</si>
  <si>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</si>
  <si>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</si>
  <si>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</si>
  <si>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</si>
  <si>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</si>
  <si>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</si>
  <si>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</si>
  <si>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</si>
  <si>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</si>
  <si>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</si>
  <si>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</si>
  <si>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</si>
  <si>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</si>
  <si>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</si>
  <si>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</si>
  <si>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</si>
  <si>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</si>
  <si>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</si>
  <si>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</si>
  <si>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</si>
  <si>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</si>
  <si>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</si>
  <si>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</si>
  <si>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</si>
  <si>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</si>
  <si>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</si>
  <si>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</si>
  <si>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</si>
  <si>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</si>
  <si>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</si>
  <si>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</si>
  <si>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</si>
  <si>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</si>
  <si>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</si>
  <si>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</si>
  <si>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</si>
  <si>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</si>
  <si>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</si>
  <si>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</si>
  <si>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</si>
  <si>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</si>
  <si>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</si>
  <si>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</si>
  <si>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</si>
  <si>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</si>
  <si>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</si>
  <si>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</si>
  <si>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</si>
  <si>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</si>
  <si>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</si>
  <si>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</si>
  <si>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</si>
  <si>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</si>
  <si>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</si>
  <si>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</si>
  <si>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</si>
  <si>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</si>
  <si>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</si>
  <si>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</si>
  <si>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</si>
  <si>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</si>
  <si>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</si>
  <si>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</si>
  <si>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</si>
  <si>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</si>
  <si>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</si>
  <si>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</si>
  <si>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</si>
  <si>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</si>
  <si>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</si>
  <si>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</si>
  <si>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</si>
  <si>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</si>
  <si>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</si>
  <si>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</si>
  <si>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</si>
  <si>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01181</t>
  </si>
  <si>
    <t>238280 07</t>
  </si>
  <si>
    <t>472,440</t>
  </si>
  <si>
    <t>г. Киров, ул. Мира, 33-35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</si>
</sst>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№ЕИ-04/02-01181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СВ-15Г, год изготовления 2007, заводской № 238280 07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24319-05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Мира, 33-35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27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52.5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59.5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472,440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472.447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6.8000000000000005E-3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2.9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472.44900000000001</v>
      </c>
      <c r="AK54" s="144"/>
      <c r="AL54" s="144"/>
      <c r="AM54" s="144"/>
      <c r="AN54" s="144"/>
      <c r="AO54" s="144"/>
      <c r="AP54" s="145"/>
      <c r="AQ54" s="143">
        <f t="shared" ca="1" si="0"/>
        <v>472.45499999999998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5.8000000000000005E-3</v>
      </c>
      <c r="BE54" s="168"/>
      <c r="BF54" s="168"/>
      <c r="BG54" s="168"/>
      <c r="BH54" s="168"/>
      <c r="BI54" s="168"/>
      <c r="BJ54" s="169"/>
      <c r="BK54" s="146">
        <f t="shared" ca="1" si="1"/>
        <v>3.4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472.45599999999996</v>
      </c>
      <c r="AK55" s="149"/>
      <c r="AL55" s="149"/>
      <c r="AM55" s="149"/>
      <c r="AN55" s="149"/>
      <c r="AO55" s="149"/>
      <c r="AP55" s="150"/>
      <c r="AQ55" s="143">
        <f t="shared" ca="1" si="0"/>
        <v>472.46299999999997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6.8999999999999999E-3</v>
      </c>
      <c r="BE55" s="168"/>
      <c r="BF55" s="168"/>
      <c r="BG55" s="168"/>
      <c r="BH55" s="168"/>
      <c r="BI55" s="168"/>
      <c r="BJ55" s="169"/>
      <c r="BK55" s="146">
        <f t="shared" ca="1" si="1"/>
        <v>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0.127</v>
      </c>
      <c r="AD56" s="144"/>
      <c r="AE56" s="144"/>
      <c r="AF56" s="144"/>
      <c r="AG56" s="144"/>
      <c r="AH56" s="144"/>
      <c r="AI56" s="145"/>
      <c r="AJ56" s="128">
        <f ca="1">AQ55+RANDBETWEEN(4,7)/1000</f>
        <v>472.46799999999996</v>
      </c>
      <c r="AK56" s="149"/>
      <c r="AL56" s="149"/>
      <c r="AM56" s="149"/>
      <c r="AN56" s="149"/>
      <c r="AO56" s="149"/>
      <c r="AP56" s="150"/>
      <c r="AQ56" s="143">
        <f t="shared" ca="1" si="0"/>
        <v>472.48099999999994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1.2900000000000002E-2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0.128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472.48499999999996</v>
      </c>
      <c r="AK57" s="149"/>
      <c r="AL57" s="149"/>
      <c r="AM57" s="149"/>
      <c r="AN57" s="149"/>
      <c r="AO57" s="149"/>
      <c r="AP57" s="150"/>
      <c r="AQ57" s="143">
        <f t="shared" ca="1" si="0"/>
        <v>472.49799999999993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1.2800000000000001E-2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1.6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0.13100000000000001</v>
      </c>
      <c r="AD58" s="144"/>
      <c r="AE58" s="144"/>
      <c r="AF58" s="144"/>
      <c r="AG58" s="144"/>
      <c r="AH58" s="144"/>
      <c r="AI58" s="145"/>
      <c r="AJ58" s="128">
        <f t="shared" ca="1" si="4"/>
        <v>472.50499999999994</v>
      </c>
      <c r="AK58" s="149"/>
      <c r="AL58" s="149"/>
      <c r="AM58" s="149"/>
      <c r="AN58" s="149"/>
      <c r="AO58" s="149"/>
      <c r="AP58" s="150"/>
      <c r="AQ58" s="143">
        <f t="shared" ca="1" si="0"/>
        <v>472.51899999999995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1.4199999999999999E-2</v>
      </c>
      <c r="BE58" s="168"/>
      <c r="BF58" s="168"/>
      <c r="BG58" s="168"/>
      <c r="BH58" s="168"/>
      <c r="BI58" s="168"/>
      <c r="BJ58" s="169"/>
      <c r="BK58" s="146">
        <f t="shared" ca="1" si="5"/>
        <v>-1.4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0.94199999999999995</v>
      </c>
      <c r="AD59" s="129"/>
      <c r="AE59" s="129"/>
      <c r="AF59" s="129"/>
      <c r="AG59" s="129"/>
      <c r="AH59" s="129"/>
      <c r="AI59" s="130"/>
      <c r="AJ59" s="153">
        <f ca="1">AQ58+RANDBETWEEN(15,18)/1000</f>
        <v>472.53699999999992</v>
      </c>
      <c r="AK59" s="154"/>
      <c r="AL59" s="154"/>
      <c r="AM59" s="154"/>
      <c r="AN59" s="154"/>
      <c r="AO59" s="154"/>
      <c r="AP59" s="155"/>
      <c r="AQ59" s="189">
        <f ca="1">AJ59+AW59</f>
        <v>472.5689999999999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3.1600000000000003E-2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1.3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0.89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472.5859999999999</v>
      </c>
      <c r="AK60" s="149"/>
      <c r="AL60" s="149"/>
      <c r="AM60" s="149"/>
      <c r="AN60" s="149"/>
      <c r="AO60" s="149"/>
      <c r="AP60" s="150"/>
      <c r="AQ60" s="143">
        <f t="shared" ca="1" si="0"/>
        <v>472.61599999999987</v>
      </c>
      <c r="AR60" s="144"/>
      <c r="AS60" s="144"/>
      <c r="AT60" s="144"/>
      <c r="AU60" s="144"/>
      <c r="AV60" s="145"/>
      <c r="AW60" s="143">
        <f t="shared" ref="AW60:AW61" ca="1" si="7">ROUNDUP(AC60*120/3600,3)</f>
        <v>3.0000000000000002E-2</v>
      </c>
      <c r="AX60" s="151"/>
      <c r="AY60" s="151"/>
      <c r="AZ60" s="151"/>
      <c r="BA60" s="151"/>
      <c r="BB60" s="151"/>
      <c r="BC60" s="152"/>
      <c r="BD60" s="131">
        <f ca="1">AW60+RANDBETWEEN(-5,5)/10000</f>
        <v>3.0000000000000002E-2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0.92</v>
      </c>
      <c r="AD61" s="129"/>
      <c r="AE61" s="129"/>
      <c r="AF61" s="129"/>
      <c r="AG61" s="129"/>
      <c r="AH61" s="129"/>
      <c r="AI61" s="130"/>
      <c r="AJ61" s="91">
        <f ca="1">AQ60+RANDBETWEEN(15,18)/1000</f>
        <v>472.63299999999987</v>
      </c>
      <c r="AK61" s="92"/>
      <c r="AL61" s="92"/>
      <c r="AM61" s="92"/>
      <c r="AN61" s="92"/>
      <c r="AO61" s="92"/>
      <c r="AP61" s="93"/>
      <c r="AQ61" s="192">
        <f t="shared" ca="1" si="0"/>
        <v>472.66399999999987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3.09E-2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45929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130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45929</v>
      </c>
      <c r="C9" s="13"/>
      <c r="D9" s="13"/>
      <c r="E9" s="13"/>
    </row>
    <row r="10" spans="1:21" ht="18" x14ac:dyDescent="0.35">
      <c r="A10" s="11" t="s">
        <v>15</v>
      </c>
      <c r="B10" s="76">
        <v>24.5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52.5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2025-09-30T15:47:31Z</cp:lastPrinted>
  <dcterms:created xsi:type="dcterms:W3CDTF">2015-01-22T18:16:29Z</dcterms:created>
  <dcterms:modified xsi:type="dcterms:W3CDTF">2025-09-30T15:50:24Z</dcterms:modified>
</cp:coreProperties>
</file>