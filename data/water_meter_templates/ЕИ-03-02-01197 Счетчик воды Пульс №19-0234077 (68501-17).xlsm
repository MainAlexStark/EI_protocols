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56AC67A7-0D15-4F83-AD2D-E063B7CEA81A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<sst xmlns="http://schemas.openxmlformats.org/spreadsheetml/2006/main" count="499" uniqueCount="271">
  <si>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</si>
  <si>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</si>
  <si>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</si>
  <si>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</si>
  <si>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</si>
  <si>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</si>
  <si>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</si>
  <si>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</si>
  <si>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</si>
  <si>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</si>
  <si>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</si>
  <si>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</si>
  <si>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</si>
  <si>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</si>
  <si>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</si>
  <si>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</si>
  <si>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</si>
  <si>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</si>
  <si>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</si>
  <si>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</si>
  <si>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</si>
  <si>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</si>
  <si>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</si>
  <si>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</si>
  <si>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</si>
  <si>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</si>
  <si>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</si>
  <si>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</si>
  <si>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</si>
  <si>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</si>
  <si>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</si>
  <si>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</si>
  <si>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</si>
  <si>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</si>
  <si>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</si>
  <si>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</si>
  <si>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</si>
  <si>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</si>
  <si>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</si>
  <si>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</si>
  <si>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</si>
  <si>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</si>
  <si>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</si>
  <si>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</si>
  <si>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</si>
  <si>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</si>
  <si>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</si>
  <si>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</si>
  <si>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</si>
  <si>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</si>
  <si>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</si>
  <si>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</si>
  <si>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</si>
  <si>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</si>
  <si>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</si>
  <si>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</si>
  <si>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</si>
  <si>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</si>
  <si>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</si>
  <si>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</si>
  <si>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</si>
  <si>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</si>
  <si>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</si>
  <si>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</si>
  <si>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</si>
  <si>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</si>
  <si>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</si>
  <si>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</si>
  <si>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</si>
  <si>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</si>
  <si>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</si>
  <si>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</si>
  <si>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</si>
  <si>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</si>
  <si>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</si>
  <si>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</si>
  <si>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</si>
  <si>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</si>
  <si>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</si>
  <si>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</si>
  <si>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</si>
  <si>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</si>
  <si>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</si>
  <si>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</si>
  <si>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</si>
  <si>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</si>
  <si>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</si>
  <si>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</si>
  <si>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</si>
  <si>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</si>
  <si>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</si>
  <si>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</si>
  <si>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</si>
  <si>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</si>
  <si>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</si>
  <si>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</si>
  <si>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</si>
  <si>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</si>
  <si>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</si>
  <si>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</si>
  <si>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</si>
  <si>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</si>
  <si>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</si>
  <si>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</si>
  <si>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</si>
  <si>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</si>
  <si>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</si>
  <si>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</si>
  <si>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</si>
  <si>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</si>
  <si>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</si>
  <si>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</si>
  <si>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</si>
  <si>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</si>
  <si>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</si>
  <si>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</si>
  <si>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</si>
  <si>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</si>
  <si>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</si>
  <si>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</si>
  <si>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</si>
  <si>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</si>
  <si>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</si>
  <si>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</si>
  <si>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</si>
  <si>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</si>
  <si>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</si>
  <si>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</si>
  <si>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</si>
  <si>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</si>
  <si>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</si>
  <si>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</si>
  <si>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</si>
  <si>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</si>
  <si>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</si>
  <si>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</si>
  <si>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</si>
  <si>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</si>
  <si>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</si>
  <si>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</si>
  <si>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</si>
  <si>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</si>
  <si>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</si>
  <si>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</si>
  <si>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</si>
  <si>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</si>
  <si>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</si>
  <si>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</si>
  <si>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</si>
  <si>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</si>
  <si>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</si>
  <si>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</si>
  <si>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</si>
  <si>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</si>
  <si>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</si>
  <si>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</si>
  <si>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</si>
  <si>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</si>
  <si>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</si>
  <si>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</si>
  <si>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</si>
  <si>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</si>
  <si>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</si>
  <si>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</si>
  <si>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</si>
  <si>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</si>
  <si>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</si>
  <si>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</si>
  <si>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</si>
  <si>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</si>
  <si>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</si>
  <si>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</si>
  <si>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</si>
  <si>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</si>
  <si>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</si>
  <si>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</si>
  <si>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</si>
  <si>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</si>
  <si>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</si>
  <si>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</si>
  <si>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</si>
  <si>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</si>
  <si>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</si>
  <si>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</si>
  <si>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</si>
  <si>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</si>
  <si>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</si>
  <si>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</si>
  <si>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</si>
  <si>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</si>
  <si>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</si>
  <si>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</si>
  <si>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</si>
  <si>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</si>
  <si>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</si>
  <si>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</si>
  <si>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</si>
  <si>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</si>
  <si>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</si>
  <si>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</si>
  <si>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</si>
  <si>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</si>
  <si>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</si>
  <si>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</si>
  <si>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</si>
  <si>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</si>
  <si>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</si>
  <si>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</si>
  <si>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</si>
  <si>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</si>
  <si>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</si>
  <si>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</si>
  <si>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</si>
  <si>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</si>
  <si>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</si>
  <si>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</si>
  <si>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</si>
  <si>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</si>
  <si>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</si>
  <si>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</si>
  <si>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</si>
  <si>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</si>
  <si>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</si>
  <si>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</si>
  <si>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</si>
  <si>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</si>
  <si>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</si>
  <si>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</si>
  <si>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</si>
  <si>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</si>
  <si>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</si>
  <si>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</si>
  <si>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</si>
  <si>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</si>
  <si>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</si>
  <si>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</si>
  <si>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</si>
  <si>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</si>
  <si>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</si>
  <si>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</si>
  <si>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</si>
  <si>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</si>
  <si>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</si>
  <si>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</si>
  <si>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</si>
  <si>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</si>
  <si>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</si>
  <si>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</si>
  <si>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</si>
  <si>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</si>
  <si>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</si>
  <si>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</si>
  <si>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</si>
  <si>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</si>
  <si>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</si>
  <si>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</si>
  <si>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</si>
  <si>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</si>
  <si>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</si>
  <si>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</si>
  <si>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</si>
  <si>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</si>
  <si>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</si>
  <si>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</si>
  <si>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</si>
  <si>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</si>
  <si>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</si>
  <si>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ЗАТО Первомайский, ул. Советская, 5-11</t>
  </si>
  <si>
    <t>01197</t>
  </si>
  <si>
    <t>19-0234077</t>
  </si>
  <si>
    <t>1,241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</si>
</sst>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№ЕИ-04/02-01197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ПУЛЬС, год изготовления 2019, заводской № 19-0234077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68501-17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ЗАТО Первомайский, ул. Советская, 5-11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23.5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28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48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53.6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100.7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100.7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60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INDEX(Данные!$K$53:$W$117,Данные!K51,2)</f>
        <v>«Рекомендация. ГСИ. Счетчики воды. Методика поверки» МИ 1592-2015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 t="str">
        <f>Данные!B5</f>
        <v>1,241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1.248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7.3000000000000001E-3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-4.0999999999999996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1.2509999999999999</v>
      </c>
      <c r="AK54" s="124"/>
      <c r="AL54" s="124"/>
      <c r="AM54" s="124"/>
      <c r="AN54" s="124"/>
      <c r="AO54" s="124"/>
      <c r="AP54" s="125"/>
      <c r="AQ54" s="123">
        <f t="shared" ca="1" si="0"/>
        <v>1.2579999999999998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1.2589999999999997</v>
      </c>
      <c r="AK55" s="120"/>
      <c r="AL55" s="120"/>
      <c r="AM55" s="120"/>
      <c r="AN55" s="120"/>
      <c r="AO55" s="120"/>
      <c r="AP55" s="121"/>
      <c r="AQ55" s="123">
        <f t="shared" ca="1" si="0"/>
        <v>1.2659999999999996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2.9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</v>
      </c>
      <c r="AD56" s="124"/>
      <c r="AE56" s="124"/>
      <c r="AF56" s="124"/>
      <c r="AG56" s="124"/>
      <c r="AH56" s="124"/>
      <c r="AI56" s="125"/>
      <c r="AJ56" s="119">
        <f ca="1">AQ55+RANDBETWEEN(4,7)/1000</f>
        <v>1.2699999999999996</v>
      </c>
      <c r="AK56" s="120"/>
      <c r="AL56" s="120"/>
      <c r="AM56" s="120"/>
      <c r="AN56" s="120"/>
      <c r="AO56" s="120"/>
      <c r="AP56" s="121"/>
      <c r="AQ56" s="123">
        <f t="shared" ca="1" si="0"/>
        <v>1.2829999999999995</v>
      </c>
      <c r="AR56" s="124"/>
      <c r="AS56" s="124"/>
      <c r="AT56" s="124"/>
      <c r="AU56" s="124"/>
      <c r="AV56" s="125"/>
      <c r="AW56" s="123">
        <f ca="1">ROUNDUP(AC56*360/3600,3)</f>
        <v>1.2999999999999999E-2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1.32E-2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-1.5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0.13300000000000001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1.2889999999999995</v>
      </c>
      <c r="AK57" s="120"/>
      <c r="AL57" s="120"/>
      <c r="AM57" s="120"/>
      <c r="AN57" s="120"/>
      <c r="AO57" s="120"/>
      <c r="AP57" s="121"/>
      <c r="AQ57" s="123">
        <f t="shared" ca="1" si="0"/>
        <v>1.3029999999999995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1.3799999999999998E-2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0.13500000000000001</v>
      </c>
      <c r="AD58" s="124"/>
      <c r="AE58" s="124"/>
      <c r="AF58" s="124"/>
      <c r="AG58" s="124"/>
      <c r="AH58" s="124"/>
      <c r="AI58" s="125"/>
      <c r="AJ58" s="119">
        <f t="shared" ca="1" si="4"/>
        <v>1.3069999999999995</v>
      </c>
      <c r="AK58" s="120"/>
      <c r="AL58" s="120"/>
      <c r="AM58" s="120"/>
      <c r="AN58" s="120"/>
      <c r="AO58" s="120"/>
      <c r="AP58" s="121"/>
      <c r="AQ58" s="123">
        <f t="shared" ca="1" si="0"/>
        <v>1.3209999999999995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1.4199999999999999E-2</v>
      </c>
      <c r="BE58" s="136"/>
      <c r="BF58" s="136"/>
      <c r="BG58" s="136"/>
      <c r="BH58" s="136"/>
      <c r="BI58" s="136"/>
      <c r="BJ58" s="137"/>
      <c r="BK58" s="132">
        <f t="shared" ca="1" si="5"/>
        <v>-1.4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</v>
      </c>
      <c r="AD59" s="158"/>
      <c r="AE59" s="158"/>
      <c r="AF59" s="158"/>
      <c r="AG59" s="158"/>
      <c r="AH59" s="158"/>
      <c r="AI59" s="159"/>
      <c r="AJ59" s="174">
        <f ca="1">AQ58+RANDBETWEEN(15,18)/1000</f>
        <v>1.3369999999999995</v>
      </c>
      <c r="AK59" s="175"/>
      <c r="AL59" s="175"/>
      <c r="AM59" s="175"/>
      <c r="AN59" s="175"/>
      <c r="AO59" s="175"/>
      <c r="AP59" s="176"/>
      <c r="AQ59" s="126">
        <f ca="1">AJ59+AW59</f>
        <v>1.3689999999999996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3.15E-2</v>
      </c>
      <c r="BE59" s="160"/>
      <c r="BF59" s="160"/>
      <c r="BG59" s="160"/>
      <c r="BH59" s="160"/>
      <c r="BI59" s="160"/>
      <c r="BJ59" s="161"/>
      <c r="BK59" s="132">
        <f ca="1">ROUND(((AW59-BD59)/BD59)*100,1)</f>
        <v>1.6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0.93700000000000006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1.3849999999999996</v>
      </c>
      <c r="AK60" s="120"/>
      <c r="AL60" s="120"/>
      <c r="AM60" s="120"/>
      <c r="AN60" s="120"/>
      <c r="AO60" s="120"/>
      <c r="AP60" s="121"/>
      <c r="AQ60" s="123">
        <f t="shared" ca="1" si="0"/>
        <v>1.4169999999999996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3.2500000000000001E-2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-1.5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0.90600000000000003</v>
      </c>
      <c r="AD61" s="158"/>
      <c r="AE61" s="158"/>
      <c r="AF61" s="158"/>
      <c r="AG61" s="158"/>
      <c r="AH61" s="158"/>
      <c r="AI61" s="159"/>
      <c r="AJ61" s="171">
        <f ca="1">AQ60+RANDBETWEEN(15,18)/1000</f>
        <v>1.4349999999999996</v>
      </c>
      <c r="AK61" s="172"/>
      <c r="AL61" s="172"/>
      <c r="AM61" s="172"/>
      <c r="AN61" s="172"/>
      <c r="AO61" s="172"/>
      <c r="AP61" s="173"/>
      <c r="AQ61" s="129">
        <f t="shared" ca="1" si="0"/>
        <v>1.4659999999999995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3.1399999999999997E-2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45930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178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45930</v>
      </c>
      <c r="C9" s="13"/>
      <c r="D9" s="13"/>
      <c r="E9" s="13"/>
    </row>
    <row r="10" spans="1:21" ht="18" x14ac:dyDescent="0.35">
      <c r="A10" s="11" t="s">
        <v>15</v>
      </c>
      <c r="B10" s="76">
        <v>23.5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48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60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22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2025-09-30T16:44:13Z</cp:lastPrinted>
  <dcterms:created xsi:type="dcterms:W3CDTF">2015-01-22T18:16:29Z</dcterms:created>
  <dcterms:modified xsi:type="dcterms:W3CDTF">2025-09-30T16:45:32Z</dcterms:modified>
</cp:coreProperties>
</file>