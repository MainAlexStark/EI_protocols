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1247315D-3FFB-4DAC-B949-C5DE484E4E2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<sst xmlns="http://schemas.openxmlformats.org/spreadsheetml/2006/main" count="499" uniqueCount="271">
  <si>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</si>
  <si>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</si>
  <si>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</si>
  <si>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</si>
  <si>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</si>
  <si>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</si>
  <si>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</si>
  <si>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</si>
  <si>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</si>
  <si>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</si>
  <si>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</si>
  <si>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</si>
  <si>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</si>
  <si>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</si>
  <si>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</si>
  <si>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</si>
  <si>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</si>
  <si>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</si>
  <si>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</si>
  <si>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</si>
  <si>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</si>
  <si>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</si>
  <si>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</si>
  <si>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</si>
  <si>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</si>
  <si>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</si>
  <si>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</si>
  <si>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</si>
  <si>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</si>
  <si>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</si>
  <si>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</si>
  <si>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</si>
  <si>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</si>
  <si>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</si>
  <si>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</si>
  <si>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</si>
  <si>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</si>
  <si>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</si>
  <si>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</si>
  <si>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</si>
  <si>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</si>
  <si>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</si>
  <si>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</si>
  <si>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</si>
  <si>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</si>
  <si>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</si>
  <si>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</si>
  <si>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</si>
  <si>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</si>
  <si>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</si>
  <si>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</si>
  <si>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</si>
  <si>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</si>
  <si>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</si>
  <si>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</si>
  <si>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</si>
  <si>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</si>
  <si>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</si>
  <si>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</si>
  <si>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</si>
  <si>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</si>
  <si>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</si>
  <si>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</si>
  <si>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</si>
  <si>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</si>
  <si>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</si>
  <si>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</si>
  <si>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</si>
  <si>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</si>
  <si>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</si>
  <si>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</si>
  <si>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</si>
  <si>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</si>
  <si>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</si>
  <si>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</si>
  <si>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</si>
  <si>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</si>
  <si>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</si>
  <si>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</si>
  <si>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</si>
  <si>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</si>
  <si>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</si>
  <si>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</si>
  <si>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</si>
  <si>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</si>
  <si>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</si>
  <si>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</si>
  <si>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</si>
  <si>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</si>
  <si>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</si>
  <si>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</si>
  <si>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</si>
  <si>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</si>
  <si>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</si>
  <si>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</si>
  <si>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</si>
  <si>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</si>
  <si>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</si>
  <si>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</si>
  <si>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</si>
  <si>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</si>
  <si>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</si>
  <si>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</si>
  <si>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</si>
  <si>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</si>
  <si>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</si>
  <si>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</si>
  <si>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</si>
  <si>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</si>
  <si>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</si>
  <si>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</si>
  <si>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</si>
  <si>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</si>
  <si>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</si>
  <si>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</si>
  <si>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</si>
  <si>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</si>
  <si>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</si>
  <si>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</si>
  <si>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</si>
  <si>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</si>
  <si>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</si>
  <si>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</si>
  <si>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</si>
  <si>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</si>
  <si>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</si>
  <si>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</si>
  <si>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</si>
  <si>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</si>
  <si>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</si>
  <si>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</si>
  <si>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</si>
  <si>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</si>
  <si>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</si>
  <si>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</si>
  <si>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</si>
  <si>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</si>
  <si>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</si>
  <si>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</si>
  <si>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</si>
  <si>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</si>
  <si>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</si>
  <si>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</si>
  <si>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</si>
  <si>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</si>
  <si>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</si>
  <si>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</si>
  <si>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</si>
  <si>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</si>
  <si>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</si>
  <si>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</si>
  <si>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</si>
  <si>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</si>
  <si>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</si>
  <si>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</si>
  <si>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</si>
  <si>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</si>
  <si>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</si>
  <si>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</si>
  <si>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</si>
  <si>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</si>
  <si>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</si>
  <si>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</si>
  <si>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</si>
  <si>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</si>
  <si>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</si>
  <si>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</si>
  <si>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</si>
  <si>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</si>
  <si>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</si>
  <si>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</si>
  <si>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</si>
  <si>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</si>
  <si>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</si>
  <si>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</si>
  <si>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</si>
  <si>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</si>
  <si>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</si>
  <si>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</si>
  <si>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</si>
  <si>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</si>
  <si>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</si>
  <si>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</si>
  <si>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</si>
  <si>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</si>
  <si>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</si>
  <si>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</si>
  <si>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</si>
  <si>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</si>
  <si>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</si>
  <si>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</si>
  <si>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</si>
  <si>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</si>
  <si>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</si>
  <si>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</si>
  <si>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</si>
  <si>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</si>
  <si>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</si>
  <si>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</si>
  <si>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</si>
  <si>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</si>
  <si>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</si>
  <si>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</si>
  <si>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</si>
  <si>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</si>
  <si>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</si>
  <si>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</si>
  <si>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</si>
  <si>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</si>
  <si>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</si>
  <si>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</si>
  <si>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</si>
  <si>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</si>
  <si>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</si>
  <si>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</si>
  <si>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</si>
  <si>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</si>
  <si>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</si>
  <si>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</si>
  <si>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</si>
  <si>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</si>
  <si>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</si>
  <si>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</si>
  <si>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</si>
  <si>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</si>
  <si>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</si>
  <si>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</si>
  <si>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</si>
  <si>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</si>
  <si>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</si>
  <si>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</si>
  <si>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</si>
  <si>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</si>
  <si>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</si>
  <si>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</si>
  <si>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</si>
  <si>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</si>
  <si>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</si>
  <si>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</si>
  <si>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</si>
  <si>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</si>
  <si>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</si>
  <si>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</si>
  <si>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</si>
  <si>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</si>
  <si>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</si>
  <si>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</si>
  <si>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</si>
  <si>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</si>
  <si>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</si>
  <si>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</si>
  <si>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</si>
  <si>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</si>
  <si>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</si>
  <si>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</si>
  <si>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</si>
  <si>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</si>
  <si>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</si>
  <si>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</si>
  <si>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</si>
  <si>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</si>
  <si>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</si>
  <si>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</si>
  <si>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</si>
  <si>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</si>
  <si>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</si>
  <si>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</si>
  <si>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0102149883</t>
  </si>
  <si>
    <t>01316</t>
  </si>
  <si>
    <t>185,065</t>
  </si>
  <si>
    <t>г.Яранск, ул.Чернышевского 4-60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</si>
</sst>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7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№ЕИ-04/02-01316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СВК-15Г, год изготовления 2019, заводской № 0102149883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54233-13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г.Яранск, ул.Чернышевского 4-60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24.7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23.8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57.3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66.099999999999994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101.4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101.4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5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3.2000000000000001E-2</v>
      </c>
      <c r="AD53" s="144"/>
      <c r="AE53" s="144"/>
      <c r="AF53" s="144"/>
      <c r="AG53" s="144"/>
      <c r="AH53" s="144"/>
      <c r="AI53" s="145"/>
      <c r="AJ53" s="188" t="str">
        <f>Данные!B5</f>
        <v>185,065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185.072</v>
      </c>
      <c r="AR53" s="144"/>
      <c r="AS53" s="144"/>
      <c r="AT53" s="144"/>
      <c r="AU53" s="144"/>
      <c r="AV53" s="145"/>
      <c r="AW53" s="143">
        <f ca="1">ROUNDUP(AC53*720/3600,3)</f>
        <v>7.0000000000000001E-3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7.1000000000000004E-3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185.07400000000001</v>
      </c>
      <c r="AK54" s="144"/>
      <c r="AL54" s="144"/>
      <c r="AM54" s="144"/>
      <c r="AN54" s="144"/>
      <c r="AO54" s="144"/>
      <c r="AP54" s="145"/>
      <c r="AQ54" s="143">
        <f t="shared" ca="1" si="0"/>
        <v>185.08100000000002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6.8000000000000005E-3</v>
      </c>
      <c r="BE54" s="168"/>
      <c r="BF54" s="168"/>
      <c r="BG54" s="168"/>
      <c r="BH54" s="168"/>
      <c r="BI54" s="168"/>
      <c r="BJ54" s="169"/>
      <c r="BK54" s="146">
        <f t="shared" ca="1" si="1"/>
        <v>2.9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185.084</v>
      </c>
      <c r="AK55" s="149"/>
      <c r="AL55" s="149"/>
      <c r="AM55" s="149"/>
      <c r="AN55" s="149"/>
      <c r="AO55" s="149"/>
      <c r="AP55" s="150"/>
      <c r="AQ55" s="143">
        <f t="shared" ca="1" si="0"/>
        <v>185.09100000000001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7.1999999999999998E-3</v>
      </c>
      <c r="BE55" s="168"/>
      <c r="BF55" s="168"/>
      <c r="BG55" s="168"/>
      <c r="BH55" s="168"/>
      <c r="BI55" s="168"/>
      <c r="BJ55" s="169"/>
      <c r="BK55" s="146">
        <f t="shared" ca="1" si="1"/>
        <v>-2.8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0.128</v>
      </c>
      <c r="AD56" s="144"/>
      <c r="AE56" s="144"/>
      <c r="AF56" s="144"/>
      <c r="AG56" s="144"/>
      <c r="AH56" s="144"/>
      <c r="AI56" s="145"/>
      <c r="AJ56" s="128">
        <f ca="1">AQ55+RANDBETWEEN(4,7)/1000</f>
        <v>185.096</v>
      </c>
      <c r="AK56" s="149"/>
      <c r="AL56" s="149"/>
      <c r="AM56" s="149"/>
      <c r="AN56" s="149"/>
      <c r="AO56" s="149"/>
      <c r="AP56" s="150"/>
      <c r="AQ56" s="143">
        <f t="shared" ca="1" si="0"/>
        <v>185.10900000000001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1.3100000000000001E-2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-0.8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0.13500000000000001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185.11600000000001</v>
      </c>
      <c r="AK57" s="149"/>
      <c r="AL57" s="149"/>
      <c r="AM57" s="149"/>
      <c r="AN57" s="149"/>
      <c r="AO57" s="149"/>
      <c r="AP57" s="150"/>
      <c r="AQ57" s="143">
        <f t="shared" ca="1" si="0"/>
        <v>185.13000000000002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1.4099999999999998E-2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0.13300000000000001</v>
      </c>
      <c r="AD58" s="144"/>
      <c r="AE58" s="144"/>
      <c r="AF58" s="144"/>
      <c r="AG58" s="144"/>
      <c r="AH58" s="144"/>
      <c r="AI58" s="145"/>
      <c r="AJ58" s="128">
        <f t="shared" ca="1" si="4"/>
        <v>185.13600000000002</v>
      </c>
      <c r="AK58" s="149"/>
      <c r="AL58" s="149"/>
      <c r="AM58" s="149"/>
      <c r="AN58" s="149"/>
      <c r="AO58" s="149"/>
      <c r="AP58" s="150"/>
      <c r="AQ58" s="143">
        <f t="shared" ca="1" si="0"/>
        <v>185.15000000000003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1.4099999999999998E-2</v>
      </c>
      <c r="BE58" s="168"/>
      <c r="BF58" s="168"/>
      <c r="BG58" s="168"/>
      <c r="BH58" s="168"/>
      <c r="BI58" s="168"/>
      <c r="BJ58" s="169"/>
      <c r="BK58" s="146">
        <f t="shared" ca="1" si="5"/>
        <v>-0.7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0.94199999999999995</v>
      </c>
      <c r="AD59" s="129"/>
      <c r="AE59" s="129"/>
      <c r="AF59" s="129"/>
      <c r="AG59" s="129"/>
      <c r="AH59" s="129"/>
      <c r="AI59" s="130"/>
      <c r="AJ59" s="153">
        <f ca="1">AQ58+RANDBETWEEN(15,18)/1000</f>
        <v>185.16800000000003</v>
      </c>
      <c r="AK59" s="154"/>
      <c r="AL59" s="154"/>
      <c r="AM59" s="154"/>
      <c r="AN59" s="154"/>
      <c r="AO59" s="154"/>
      <c r="AP59" s="155"/>
      <c r="AQ59" s="189">
        <f ca="1">AJ59+AW59</f>
        <v>185.20000000000005</v>
      </c>
      <c r="AR59" s="190"/>
      <c r="AS59" s="190"/>
      <c r="AT59" s="190"/>
      <c r="AU59" s="190"/>
      <c r="AV59" s="191"/>
      <c r="AW59" s="143">
        <f ca="1">ROUNDUP(AC59*120/3600,3)</f>
        <v>3.2000000000000001E-2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3.15E-2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0.93100000000000005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185.21800000000005</v>
      </c>
      <c r="AK60" s="149"/>
      <c r="AL60" s="149"/>
      <c r="AM60" s="149"/>
      <c r="AN60" s="149"/>
      <c r="AO60" s="149"/>
      <c r="AP60" s="150"/>
      <c r="AQ60" s="143">
        <f t="shared" ca="1" si="0"/>
        <v>185.25000000000006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3.1699999999999999E-2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0.9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0.95</v>
      </c>
      <c r="AD61" s="129"/>
      <c r="AE61" s="129"/>
      <c r="AF61" s="129"/>
      <c r="AG61" s="129"/>
      <c r="AH61" s="129"/>
      <c r="AI61" s="130"/>
      <c r="AJ61" s="91">
        <f ca="1">AQ60+RANDBETWEEN(15,18)/1000</f>
        <v>185.26700000000005</v>
      </c>
      <c r="AK61" s="92"/>
      <c r="AL61" s="92"/>
      <c r="AM61" s="92"/>
      <c r="AN61" s="92"/>
      <c r="AO61" s="92"/>
      <c r="AP61" s="93"/>
      <c r="AQ61" s="192">
        <f t="shared" ca="1" si="0"/>
        <v>185.29900000000006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3.2500000000000001E-2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-1.5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5" sqref="C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247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24.7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101.4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59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2025-10-19T08:57:11Z</cp:lastPrinted>
  <dcterms:created xsi:type="dcterms:W3CDTF">2015-01-22T18:16:29Z</dcterms:created>
  <dcterms:modified xsi:type="dcterms:W3CDTF">2025-10-19T08:57:35Z</dcterms:modified>
</cp:coreProperties>
</file>