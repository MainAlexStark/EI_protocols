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7B301ECE-5765-45B1-8817-E604A19076C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<sst xmlns="http://schemas.openxmlformats.org/spreadsheetml/2006/main" count="499" uniqueCount="271">
  <si>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</si>
  <si>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</si>
  <si>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</si>
  <si>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</si>
  <si>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</si>
  <si>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</si>
  <si>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</si>
  <si>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</si>
  <si>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</si>
  <si>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</si>
  <si>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</si>
  <si>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</si>
  <si>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</si>
  <si>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</si>
  <si>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</si>
  <si>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</si>
  <si>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</si>
  <si>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</si>
  <si>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</si>
  <si>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</si>
  <si>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</si>
  <si>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</si>
  <si>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</si>
  <si>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</si>
  <si>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</si>
  <si>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</si>
  <si>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</si>
  <si>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</si>
  <si>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</si>
  <si>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</si>
  <si>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</si>
  <si>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</si>
  <si>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</si>
  <si>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</si>
  <si>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</si>
  <si>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</si>
  <si>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</si>
  <si>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</si>
  <si>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</si>
  <si>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</si>
  <si>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</si>
  <si>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</si>
  <si>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</si>
  <si>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</si>
  <si>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</si>
  <si>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</si>
  <si>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</si>
  <si>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</si>
  <si>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</si>
  <si>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</si>
  <si>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</si>
  <si>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</si>
  <si>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</si>
  <si>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</si>
  <si>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</si>
  <si>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</si>
  <si>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</si>
  <si>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</si>
  <si>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</si>
  <si>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</si>
  <si>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</si>
  <si>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</si>
  <si>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</si>
  <si>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</si>
  <si>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</si>
  <si>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</si>
  <si>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</si>
  <si>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</si>
  <si>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</si>
  <si>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</si>
  <si>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</si>
  <si>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</si>
  <si>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</si>
  <si>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</si>
  <si>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</si>
  <si>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</si>
  <si>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</si>
  <si>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</si>
  <si>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</si>
  <si>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</si>
  <si>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</si>
  <si>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</si>
  <si>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</si>
  <si>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</si>
  <si>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</si>
  <si>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</si>
  <si>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</si>
  <si>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</si>
  <si>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</si>
  <si>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</si>
  <si>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</si>
  <si>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</si>
  <si>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</si>
  <si>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</si>
  <si>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</si>
  <si>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</si>
  <si>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</si>
  <si>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</si>
  <si>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</si>
  <si>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</si>
  <si>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</si>
  <si>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</si>
  <si>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</si>
  <si>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</si>
  <si>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</si>
  <si>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</si>
  <si>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</si>
  <si>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</si>
  <si>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</si>
  <si>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</si>
  <si>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</si>
  <si>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</si>
  <si>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</si>
  <si>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</si>
  <si>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</si>
  <si>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</si>
  <si>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</si>
  <si>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</si>
  <si>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</si>
  <si>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</si>
  <si>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</si>
  <si>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</si>
  <si>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</si>
  <si>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</si>
  <si>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</si>
  <si>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</si>
  <si>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</si>
  <si>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</si>
  <si>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</si>
  <si>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</si>
  <si>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</si>
  <si>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</si>
  <si>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</si>
  <si>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</si>
  <si>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</si>
  <si>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</si>
  <si>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</si>
  <si>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</si>
  <si>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</si>
  <si>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</si>
  <si>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</si>
  <si>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</si>
  <si>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</si>
  <si>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</si>
  <si>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</si>
  <si>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</si>
  <si>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</si>
  <si>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</si>
  <si>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</si>
  <si>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</si>
  <si>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</si>
  <si>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</si>
  <si>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</si>
  <si>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</si>
  <si>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</si>
  <si>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</si>
  <si>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</si>
  <si>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</si>
  <si>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</si>
  <si>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</si>
  <si>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</si>
  <si>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</si>
  <si>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</si>
  <si>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</si>
  <si>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</si>
  <si>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</si>
  <si>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</si>
  <si>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</si>
  <si>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</si>
  <si>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</si>
  <si>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</si>
  <si>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</si>
  <si>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</si>
  <si>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</si>
  <si>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</si>
  <si>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</si>
  <si>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</si>
  <si>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</si>
  <si>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</si>
  <si>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</si>
  <si>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</si>
  <si>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</si>
  <si>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</si>
  <si>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</si>
  <si>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</si>
  <si>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</si>
  <si>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</si>
  <si>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</si>
  <si>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</si>
  <si>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</si>
  <si>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</si>
  <si>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</si>
  <si>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</si>
  <si>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</si>
  <si>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</si>
  <si>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</si>
  <si>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</si>
  <si>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</si>
  <si>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</si>
  <si>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</si>
  <si>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</si>
  <si>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</si>
  <si>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</si>
  <si>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</si>
  <si>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</si>
  <si>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</si>
  <si>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</si>
  <si>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</si>
  <si>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</si>
  <si>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</si>
  <si>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</si>
  <si>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</si>
  <si>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</si>
  <si>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</si>
  <si>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</si>
  <si>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</si>
  <si>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</si>
  <si>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</si>
  <si>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</si>
  <si>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</si>
  <si>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</si>
  <si>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</si>
  <si>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</si>
  <si>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</si>
  <si>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</si>
  <si>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</si>
  <si>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</si>
  <si>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</si>
  <si>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</si>
  <si>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</si>
  <si>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</si>
  <si>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</si>
  <si>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</si>
  <si>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</si>
  <si>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</si>
  <si>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</si>
  <si>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</si>
  <si>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</si>
  <si>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</si>
  <si>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</si>
  <si>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</si>
  <si>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</si>
  <si>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</si>
  <si>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</si>
  <si>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</si>
  <si>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</si>
  <si>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</si>
  <si>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</si>
  <si>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</si>
  <si>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</si>
  <si>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</si>
  <si>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</si>
  <si>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</si>
  <si>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</si>
  <si>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</si>
  <si>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</si>
  <si>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</si>
  <si>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</si>
  <si>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</si>
  <si>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</si>
  <si>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</si>
  <si>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</si>
  <si>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</si>
  <si>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</si>
  <si>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</si>
  <si>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</si>
  <si>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</si>
  <si>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19-257802</t>
  </si>
  <si>
    <t>01333</t>
  </si>
  <si>
    <t>г.Киров, ул.Свободы 155-178</t>
  </si>
  <si>
    <t>607,855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</si>
</sst>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SheetLayoutView="20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№ЕИ-04/02-01333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WFW2, год изготовления 2019, заводской № 19-257802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54418-13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ул.Свободы 155-178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22.4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25.2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60.1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65.5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109.5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109.5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«Счетчики холодной и горячей воды крыльчатые WFK2; WFW2. Методика поверки» МП 208-037-2020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0.03</v>
      </c>
      <c r="AD53" s="124"/>
      <c r="AE53" s="124"/>
      <c r="AF53" s="124"/>
      <c r="AG53" s="124"/>
      <c r="AH53" s="124"/>
      <c r="AI53" s="125"/>
      <c r="AJ53" s="122" t="str">
        <f>Данные!B5</f>
        <v>607,855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607.86099999999999</v>
      </c>
      <c r="AR53" s="124"/>
      <c r="AS53" s="124"/>
      <c r="AT53" s="124"/>
      <c r="AU53" s="124"/>
      <c r="AV53" s="125"/>
      <c r="AW53" s="123">
        <f ca="1">ROUNDUP(AC53*720/3600,3)</f>
        <v>6.0000000000000001E-3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5.8000000000000005E-3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3.4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607.86299999999994</v>
      </c>
      <c r="AK54" s="124"/>
      <c r="AL54" s="124"/>
      <c r="AM54" s="124"/>
      <c r="AN54" s="124"/>
      <c r="AO54" s="124"/>
      <c r="AP54" s="125"/>
      <c r="AQ54" s="123">
        <f t="shared" ca="1" si="0"/>
        <v>607.86999999999989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607.87099999999987</v>
      </c>
      <c r="AK55" s="120"/>
      <c r="AL55" s="120"/>
      <c r="AM55" s="120"/>
      <c r="AN55" s="120"/>
      <c r="AO55" s="120"/>
      <c r="AP55" s="121"/>
      <c r="AQ55" s="123">
        <f t="shared" ca="1" si="0"/>
        <v>607.87699999999984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-3.2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607.88299999999981</v>
      </c>
      <c r="AK56" s="120"/>
      <c r="AL56" s="120"/>
      <c r="AM56" s="120"/>
      <c r="AN56" s="120"/>
      <c r="AO56" s="120"/>
      <c r="AP56" s="121"/>
      <c r="AQ56" s="123">
        <f t="shared" ca="1" si="0"/>
        <v>607.89599999999984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1.3000000000000001E-2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0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0.13100000000000001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607.89999999999986</v>
      </c>
      <c r="AK57" s="120"/>
      <c r="AL57" s="120"/>
      <c r="AM57" s="120"/>
      <c r="AN57" s="120"/>
      <c r="AO57" s="120"/>
      <c r="AP57" s="121"/>
      <c r="AQ57" s="123">
        <f t="shared" ca="1" si="0"/>
        <v>607.91399999999987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1.3799999999999998E-2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0.13500000000000001</v>
      </c>
      <c r="AD58" s="124"/>
      <c r="AE58" s="124"/>
      <c r="AF58" s="124"/>
      <c r="AG58" s="124"/>
      <c r="AH58" s="124"/>
      <c r="AI58" s="125"/>
      <c r="AJ58" s="119">
        <f t="shared" ca="1" si="4"/>
        <v>607.91999999999985</v>
      </c>
      <c r="AK58" s="120"/>
      <c r="AL58" s="120"/>
      <c r="AM58" s="120"/>
      <c r="AN58" s="120"/>
      <c r="AO58" s="120"/>
      <c r="AP58" s="121"/>
      <c r="AQ58" s="123">
        <f t="shared" ca="1" si="0"/>
        <v>607.93399999999986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1.3799999999999998E-2</v>
      </c>
      <c r="BE58" s="136"/>
      <c r="BF58" s="136"/>
      <c r="BG58" s="136"/>
      <c r="BH58" s="136"/>
      <c r="BI58" s="136"/>
      <c r="BJ58" s="137"/>
      <c r="BK58" s="132">
        <f t="shared" ca="1" si="5"/>
        <v>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0.94599999999999995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607.95199999999988</v>
      </c>
      <c r="AK59" s="175"/>
      <c r="AL59" s="175"/>
      <c r="AM59" s="175"/>
      <c r="AN59" s="175"/>
      <c r="AO59" s="175"/>
      <c r="AP59" s="176"/>
      <c r="AQ59" s="126">
        <f ca="1">AJ59+AW59</f>
        <v>607.98399999999992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3.2100000000000004E-2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-0.3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0.95699999999999996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608.00099999999998</v>
      </c>
      <c r="AK60" s="120"/>
      <c r="AL60" s="120"/>
      <c r="AM60" s="120"/>
      <c r="AN60" s="120"/>
      <c r="AO60" s="120"/>
      <c r="AP60" s="121"/>
      <c r="AQ60" s="123">
        <f t="shared" ca="1" si="0"/>
        <v>608.03300000000002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3.1699999999999999E-2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0.9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0.93100000000000005</v>
      </c>
      <c r="AD61" s="158"/>
      <c r="AE61" s="158"/>
      <c r="AF61" s="158"/>
      <c r="AG61" s="158"/>
      <c r="AH61" s="158"/>
      <c r="AI61" s="159"/>
      <c r="AJ61" s="171">
        <f ca="1">AQ60+RANDBETWEEN(15,18)/1000</f>
        <v>608.05100000000004</v>
      </c>
      <c r="AK61" s="172"/>
      <c r="AL61" s="172"/>
      <c r="AM61" s="172"/>
      <c r="AN61" s="172"/>
      <c r="AO61" s="172"/>
      <c r="AP61" s="173"/>
      <c r="AQ61" s="129">
        <f t="shared" ca="1" si="0"/>
        <v>608.08300000000008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3.1699999999999999E-2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0.9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45946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142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267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45946</v>
      </c>
      <c r="C9" s="13"/>
      <c r="D9" s="13"/>
      <c r="E9" s="13"/>
    </row>
    <row r="10" spans="1:21" ht="18" x14ac:dyDescent="0.35">
      <c r="A10" s="11" t="s">
        <v>15</v>
      </c>
      <c r="B10" s="76">
        <v>22.4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60.1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109.5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33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2025-09-21T11:10:05Z</cp:lastPrinted>
  <dcterms:created xsi:type="dcterms:W3CDTF">2015-01-22T18:16:29Z</dcterms:created>
  <dcterms:modified xsi:type="dcterms:W3CDTF">2025-10-19T12:44:44Z</dcterms:modified>
</cp:coreProperties>
</file>