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6.10.2025\"/>
    </mc:Choice>
  </mc:AlternateContent>
  <xr:revisionPtr revIDLastSave="0" documentId="8_{2ABFB695-DD61-4ADB-B796-BE6C3E5A113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<sst xmlns="http://schemas.openxmlformats.org/spreadsheetml/2006/main" count="407" uniqueCount="238">
  <si>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</si>
  <si>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</si>
  <si>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</si>
  <si>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</si>
  <si>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</si>
  <si>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</si>
  <si>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</si>
  <si>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</si>
  <si>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</si>
  <si>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</si>
  <si>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</si>
  <si>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</si>
  <si>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</si>
  <si>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</si>
  <si>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</si>
  <si>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</si>
  <si>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</si>
  <si>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</si>
  <si>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</si>
  <si>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</si>
  <si>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</si>
  <si>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</si>
  <si>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</si>
  <si>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</si>
  <si>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</si>
  <si>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</si>
  <si>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</si>
  <si>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</si>
  <si>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</si>
  <si>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</si>
  <si>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</si>
  <si>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</si>
  <si>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</si>
  <si>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</si>
  <si>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</si>
  <si>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</si>
  <si>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</si>
  <si>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</si>
  <si>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</si>
  <si>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</si>
  <si>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</si>
  <si>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</si>
  <si>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</si>
  <si>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</si>
  <si>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</si>
  <si>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</si>
  <si>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</si>
  <si>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</si>
  <si>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</si>
  <si>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</si>
  <si>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</si>
  <si>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</si>
  <si>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</si>
  <si>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</si>
  <si>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</si>
  <si>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</si>
  <si>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</si>
  <si>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</si>
  <si>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</si>
  <si>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</si>
  <si>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</si>
  <si>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</si>
  <si>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</si>
  <si>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</si>
  <si>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</si>
  <si>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</si>
  <si>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</si>
  <si>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</si>
  <si>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</si>
  <si>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</si>
  <si>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</si>
  <si>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</si>
  <si>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</si>
  <si>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</si>
  <si>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</si>
  <si>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</si>
  <si>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</si>
  <si>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</si>
  <si>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</si>
  <si>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</si>
  <si>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</si>
  <si>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</si>
  <si>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</si>
  <si>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</si>
  <si>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</si>
  <si>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</si>
  <si>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</si>
  <si>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</si>
  <si>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</si>
  <si>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</si>
  <si>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</si>
  <si>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</si>
  <si>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</si>
  <si>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</si>
  <si>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</si>
  <si>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</si>
  <si>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</si>
  <si>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</si>
  <si>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</si>
  <si>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</si>
  <si>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</si>
  <si>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</si>
  <si>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</si>
  <si>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</si>
  <si>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</si>
  <si>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</si>
  <si>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</si>
  <si>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</si>
  <si>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</si>
  <si>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</si>
  <si>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</si>
  <si>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</si>
  <si>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</si>
  <si>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</si>
  <si>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</si>
  <si>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</si>
  <si>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</si>
  <si>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</si>
  <si>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</si>
  <si>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</si>
  <si>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</si>
  <si>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</si>
  <si>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</si>
  <si>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</si>
  <si>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</si>
  <si>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</si>
  <si>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</si>
  <si>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</si>
  <si>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</si>
  <si>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</si>
  <si>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</si>
  <si>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</si>
  <si>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</si>
  <si>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</si>
  <si>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</si>
  <si>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</si>
  <si>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</si>
  <si>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</si>
  <si>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</si>
  <si>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</si>
  <si>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</si>
  <si>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</si>
  <si>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</si>
  <si>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</si>
  <si>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</si>
  <si>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</si>
  <si>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</si>
  <si>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</si>
  <si>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</si>
  <si>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</si>
  <si>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</si>
  <si>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</si>
  <si>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</si>
  <si>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</si>
  <si>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</si>
  <si>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</si>
  <si>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</si>
  <si>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</si>
  <si>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</si>
  <si>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</si>
  <si>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</si>
  <si>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</si>
  <si>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</si>
  <si>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</si>
  <si>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</si>
  <si>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</si>
  <si>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</si>
  <si>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</si>
  <si>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</si>
  <si>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</si>
  <si>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</si>
  <si>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</si>
  <si>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</si>
  <si>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</si>
  <si>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</si>
  <si>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</si>
  <si>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</si>
  <si>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</si>
  <si>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</si>
  <si>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</si>
  <si>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</si>
  <si>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</si>
  <si>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</si>
  <si>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</si>
  <si>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</si>
  <si>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</si>
  <si>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</si>
  <si>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</si>
  <si>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</si>
  <si>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</si>
  <si>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</si>
  <si>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</si>
  <si>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</si>
  <si>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</si>
  <si>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</si>
  <si>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</si>
  <si>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</si>
  <si>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</si>
  <si>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</si>
  <si>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</si>
  <si>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</si>
  <si>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</si>
  <si>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</si>
  <si>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</si>
  <si>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</si>
  <si>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</si>
  <si>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</si>
  <si>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</si>
  <si>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</si>
  <si>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</si>
  <si>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</si>
  <si>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</si>
  <si>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</si>
  <si>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</si>
  <si>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</si>
  <si>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</si>
  <si>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</si>
  <si>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</si>
  <si>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</si>
  <si>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</si>
  <si>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</si>
  <si>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</si>
  <si>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</si>
  <si>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</si>
  <si>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</si>
  <si>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</si>
  <si>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</si>
  <si>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</si>
  <si>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</si>
  <si>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</si>
  <si>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</si>
  <si>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</si>
  <si>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</si>
  <si>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</si>
  <si>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487,786</t>
  </si>
  <si>
    <t>01319</t>
  </si>
  <si>
    <t>31515999</t>
  </si>
  <si>
    <t>г.Яранск, ул.Первомайская 30-10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</si>
</sst>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34" fillId="0" borderId="17" xfId="0" applyFont="1" applyBorder="1" applyAlignment="1">
      <alignment horizontal="left" vertic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7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34" fillId="0" borderId="17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9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6" tableBorderDxfId="15">
  <autoFilter ref="K53:W102" xr:uid="{7A55A5C8-AE78-47C5-9E5F-61F0512EFD5C}"/>
  <tableColumns count="13">
    <tableColumn id="1" xr3:uid="{DB2BFEFC-144F-45D1-A0A2-006DB791906C}" name="тип" dataDxfId="14"/>
    <tableColumn id="2" xr3:uid="{ED5E1588-9715-4A54-A0D1-2A49C4AC9AA2}" name="мп" dataDxfId="13"/>
    <tableColumn id="3" xr3:uid="{62A0B04F-6A7B-435B-91ED-AC4579B1553F}" name="min" dataDxfId="12"/>
    <tableColumn id="4" xr3:uid="{4891998B-7F9F-45C9-86C2-4DBE8C6FEEF5}" name="перех А" dataDxfId="11"/>
    <tableColumn id="5" xr3:uid="{3ADB5F24-D79A-4F44-9383-84701A49EA67}" name="перех B" dataDxfId="10"/>
    <tableColumn id="6" xr3:uid="{0DD83C66-9C5E-4238-912C-C82F865402BD}" name="ном" dataDxfId="9"/>
    <tableColumn id="7" xr3:uid="{DA830BFF-5B83-4FFF-9B87-46A49C6C8B31}" name="max" dataDxfId="8"/>
    <tableColumn id="8" xr3:uid="{41977AB7-134F-4FF7-9C55-0D590DE8A678}" name="порг1" dataDxfId="7"/>
    <tableColumn id="9" xr3:uid="{EA650B12-A6F3-4AD9-8592-23C30A8625AD}" name="погр2" dataDxfId="6"/>
    <tableColumn id="10" xr3:uid="{B4B09A14-BE2C-4879-8039-91BA1325B6F6}" name="Столбец1" dataDxfId="5"/>
    <tableColumn id="11" xr3:uid="{7AE7A9EA-5F38-47F8-A80B-404AC2C35340}" name="Столбец2" dataDxfId="4"/>
    <tableColumn id="12" xr3:uid="{1D1F0254-8B7A-45C8-BE57-4722B28C3763}" name="Столбец3" dataDxfId="3"/>
    <tableColumn id="14" xr3:uid="{18716490-9E5C-4B13-B4DC-6E1B4C836F2B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zoomScale="112" zoomScaleNormal="100" zoomScaleSheetLayoutView="200" zoomScalePageLayoutView="112" workbookViewId="0">
      <selection activeCell="AL13" sqref="AL13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24" t="s">
        <v>97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43"/>
      <c r="BX1" s="43"/>
      <c r="BY1" s="91"/>
      <c r="BZ1" s="91"/>
      <c r="CA1" s="91"/>
      <c r="CB1" s="91"/>
    </row>
    <row r="2" spans="1:80" ht="18" customHeight="1" x14ac:dyDescent="0.3">
      <c r="A2" s="124" t="s">
        <v>98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43"/>
      <c r="BX2" s="43"/>
    </row>
    <row r="3" spans="1:80" ht="18.75" customHeight="1" x14ac:dyDescent="0.3">
      <c r="A3" s="125" t="s">
        <v>100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43"/>
      <c r="BX3" s="43"/>
    </row>
    <row r="4" spans="1:80" x14ac:dyDescent="0.3">
      <c r="A4" s="125" t="s">
        <v>99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43"/>
      <c r="BX4" s="43"/>
    </row>
    <row r="5" spans="1:80" ht="27" customHeight="1" x14ac:dyDescent="0.35">
      <c r="A5" s="123" t="str">
        <f>CONCATENATE("ПРОТОКОЛ №","ЕИ-04/",Данные!B9,"-",Данные!B2)</f>
        <v>ПРОТОКОЛ №ЕИ-04/02-01319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43"/>
      <c r="BX5" s="43"/>
    </row>
    <row r="6" spans="1:80" ht="15.75" customHeight="1" x14ac:dyDescent="0.3">
      <c r="A6" s="163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2013, заводской № 31515999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43"/>
    </row>
    <row r="7" spans="1:80" s="60" customFormat="1" ht="15.75" customHeight="1" x14ac:dyDescent="0.3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г.Яранск, ул.Первомайская 30-10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31" t="s">
        <v>28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57" t="s">
        <v>82</v>
      </c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9"/>
      <c r="AF26" s="177" t="s">
        <v>78</v>
      </c>
      <c r="AG26" s="158"/>
      <c r="AH26" s="158"/>
      <c r="AI26" s="158"/>
      <c r="AJ26" s="158"/>
      <c r="AK26" s="158"/>
      <c r="AL26" s="158"/>
      <c r="AM26" s="158"/>
      <c r="AN26" s="158"/>
      <c r="AO26" s="159"/>
      <c r="AP26" s="177" t="s">
        <v>79</v>
      </c>
      <c r="AQ26" s="158"/>
      <c r="AR26" s="158"/>
      <c r="AS26" s="158"/>
      <c r="AT26" s="158"/>
      <c r="AU26" s="158"/>
      <c r="AV26" s="159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60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2"/>
      <c r="AF27" s="160"/>
      <c r="AG27" s="161"/>
      <c r="AH27" s="161"/>
      <c r="AI27" s="161"/>
      <c r="AJ27" s="161"/>
      <c r="AK27" s="161"/>
      <c r="AL27" s="161"/>
      <c r="AM27" s="161"/>
      <c r="AN27" s="161"/>
      <c r="AO27" s="162"/>
      <c r="AP27" s="160"/>
      <c r="AQ27" s="161"/>
      <c r="AR27" s="161"/>
      <c r="AS27" s="161"/>
      <c r="AT27" s="161"/>
      <c r="AU27" s="161"/>
      <c r="AV27" s="162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4" t="s">
        <v>75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6"/>
      <c r="AF28" s="194">
        <f>Данные!B11</f>
        <v>22.4</v>
      </c>
      <c r="AG28" s="152"/>
      <c r="AH28" s="152"/>
      <c r="AI28" s="152"/>
      <c r="AJ28" s="152"/>
      <c r="AK28" s="152"/>
      <c r="AL28" s="152"/>
      <c r="AM28" s="152"/>
      <c r="AN28" s="152"/>
      <c r="AO28" s="153"/>
      <c r="AP28" s="194">
        <f ca="1">AF28+(RANDBETWEEN(-26,53)/10)</f>
        <v>22.099999999999998</v>
      </c>
      <c r="AQ28" s="152"/>
      <c r="AR28" s="152"/>
      <c r="AS28" s="152"/>
      <c r="AT28" s="152"/>
      <c r="AU28" s="152"/>
      <c r="AV28" s="153"/>
      <c r="AW28" s="63"/>
      <c r="AX28" s="198" t="s">
        <v>94</v>
      </c>
      <c r="AY28" s="198"/>
      <c r="AZ28" s="198"/>
      <c r="BA28" s="198"/>
      <c r="BB28" s="198"/>
      <c r="BC28" s="198"/>
      <c r="BD28" s="198"/>
      <c r="BE28" s="198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1" t="s">
        <v>76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3"/>
      <c r="AF29" s="178">
        <f>Данные!B12</f>
        <v>60.1</v>
      </c>
      <c r="AG29" s="152"/>
      <c r="AH29" s="152"/>
      <c r="AI29" s="152"/>
      <c r="AJ29" s="152"/>
      <c r="AK29" s="152"/>
      <c r="AL29" s="152"/>
      <c r="AM29" s="152"/>
      <c r="AN29" s="152"/>
      <c r="AO29" s="153"/>
      <c r="AP29" s="178">
        <f ca="1">AF29+(RANDBETWEEN(43,97)/10)</f>
        <v>68.099999999999994</v>
      </c>
      <c r="AQ29" s="152"/>
      <c r="AR29" s="152"/>
      <c r="AS29" s="152"/>
      <c r="AT29" s="152"/>
      <c r="AU29" s="152"/>
      <c r="AV29" s="153"/>
      <c r="AW29" s="63"/>
      <c r="AX29" s="198" t="s">
        <v>95</v>
      </c>
      <c r="AY29" s="198"/>
      <c r="AZ29" s="198"/>
      <c r="BA29" s="198"/>
      <c r="BB29" s="198"/>
      <c r="BC29" s="198"/>
      <c r="BD29" s="198"/>
      <c r="BE29" s="198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1" t="s">
        <v>77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3"/>
      <c r="AF30" s="178">
        <f>Данные!B13</f>
        <v>109.5</v>
      </c>
      <c r="AG30" s="152"/>
      <c r="AH30" s="152"/>
      <c r="AI30" s="152"/>
      <c r="AJ30" s="152"/>
      <c r="AK30" s="152"/>
      <c r="AL30" s="152"/>
      <c r="AM30" s="152"/>
      <c r="AN30" s="152"/>
      <c r="AO30" s="153"/>
      <c r="AP30" s="195">
        <f>AF30</f>
        <v>109.5</v>
      </c>
      <c r="AQ30" s="196"/>
      <c r="AR30" s="196"/>
      <c r="AS30" s="196"/>
      <c r="AT30" s="196"/>
      <c r="AU30" s="196"/>
      <c r="AV30" s="197"/>
      <c r="AW30" s="63"/>
      <c r="AX30" s="198" t="s">
        <v>96</v>
      </c>
      <c r="AY30" s="198"/>
      <c r="AZ30" s="198"/>
      <c r="BA30" s="198"/>
      <c r="BB30" s="198"/>
      <c r="BC30" s="198"/>
      <c r="BD30" s="198"/>
      <c r="BE30" s="198"/>
      <c r="BF30" s="198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1" t="s">
        <v>83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3"/>
      <c r="AF31" s="178">
        <f>Данные!B14</f>
        <v>5</v>
      </c>
      <c r="AG31" s="152"/>
      <c r="AH31" s="152"/>
      <c r="AI31" s="152"/>
      <c r="AJ31" s="152"/>
      <c r="AK31" s="152"/>
      <c r="AL31" s="152"/>
      <c r="AM31" s="152"/>
      <c r="AN31" s="152"/>
      <c r="AO31" s="153"/>
      <c r="AP31" s="178">
        <f>Данные!B15</f>
        <v>5</v>
      </c>
      <c r="AQ31" s="152"/>
      <c r="AR31" s="152"/>
      <c r="AS31" s="152"/>
      <c r="AT31" s="152"/>
      <c r="AU31" s="152"/>
      <c r="AV31" s="153"/>
      <c r="AW31" s="63"/>
      <c r="AX31" s="199" t="s">
        <v>81</v>
      </c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31" t="s">
        <v>31</v>
      </c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31" t="s">
        <v>32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5"/>
      <c r="BW37" s="43"/>
      <c r="BX37" s="43"/>
    </row>
    <row r="38" spans="1:76" ht="4.5" customHeight="1" x14ac:dyDescent="0.3">
      <c r="A38" s="129" t="str">
        <f>INDEX(Данные!$K$54:$W$99,Данные!K52,2)</f>
        <v>«Рекомендация. ГСИ. Счетчики воды. Методика поверки» МИ 1592-2015</v>
      </c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31" t="s">
        <v>33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2" t="s">
        <v>7</v>
      </c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4"/>
      <c r="V48" s="142" t="s">
        <v>3</v>
      </c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4"/>
      <c r="BV48" s="43"/>
      <c r="BW48" s="43"/>
      <c r="BX48" s="43"/>
    </row>
    <row r="49" spans="1:76" ht="13.5" customHeight="1" x14ac:dyDescent="0.3">
      <c r="A49" s="43"/>
      <c r="B49" s="145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7"/>
      <c r="V49" s="148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50"/>
      <c r="BV49" s="43"/>
      <c r="BW49" s="43"/>
      <c r="BX49" s="43"/>
    </row>
    <row r="50" spans="1:76" ht="13.5" customHeight="1" x14ac:dyDescent="0.3">
      <c r="A50" s="43"/>
      <c r="B50" s="145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7"/>
      <c r="V50" s="101" t="s">
        <v>4</v>
      </c>
      <c r="W50" s="102"/>
      <c r="X50" s="102"/>
      <c r="Y50" s="102"/>
      <c r="Z50" s="102"/>
      <c r="AA50" s="102"/>
      <c r="AB50" s="180"/>
      <c r="AC50" s="141" t="s">
        <v>88</v>
      </c>
      <c r="AD50" s="141"/>
      <c r="AE50" s="141"/>
      <c r="AF50" s="141"/>
      <c r="AG50" s="141"/>
      <c r="AH50" s="141"/>
      <c r="AI50" s="141"/>
      <c r="AJ50" s="126" t="s">
        <v>72</v>
      </c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8"/>
      <c r="AW50" s="101" t="s">
        <v>212</v>
      </c>
      <c r="AX50" s="102"/>
      <c r="AY50" s="102"/>
      <c r="AZ50" s="102"/>
      <c r="BA50" s="102"/>
      <c r="BB50" s="102"/>
      <c r="BC50" s="180"/>
      <c r="BD50" s="141" t="s">
        <v>89</v>
      </c>
      <c r="BE50" s="141"/>
      <c r="BF50" s="141"/>
      <c r="BG50" s="141"/>
      <c r="BH50" s="141"/>
      <c r="BI50" s="141"/>
      <c r="BJ50" s="141"/>
      <c r="BK50" s="141" t="s">
        <v>5</v>
      </c>
      <c r="BL50" s="141"/>
      <c r="BM50" s="141"/>
      <c r="BN50" s="141"/>
      <c r="BO50" s="141"/>
      <c r="BP50" s="141"/>
      <c r="BQ50" s="132" t="s">
        <v>6</v>
      </c>
      <c r="BR50" s="133"/>
      <c r="BS50" s="133"/>
      <c r="BT50" s="133"/>
      <c r="BU50" s="134"/>
      <c r="BV50" s="43"/>
      <c r="BW50" s="43"/>
      <c r="BX50" s="43"/>
    </row>
    <row r="51" spans="1:76" s="60" customFormat="1" ht="10.5" customHeight="1" x14ac:dyDescent="0.3">
      <c r="A51" s="43"/>
      <c r="B51" s="145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7"/>
      <c r="V51" s="181"/>
      <c r="W51" s="182"/>
      <c r="X51" s="182"/>
      <c r="Y51" s="182"/>
      <c r="Z51" s="182"/>
      <c r="AA51" s="182"/>
      <c r="AB51" s="183"/>
      <c r="AC51" s="141"/>
      <c r="AD51" s="141"/>
      <c r="AE51" s="141"/>
      <c r="AF51" s="141"/>
      <c r="AG51" s="141"/>
      <c r="AH51" s="141"/>
      <c r="AI51" s="141"/>
      <c r="AJ51" s="101" t="s">
        <v>85</v>
      </c>
      <c r="AK51" s="102"/>
      <c r="AL51" s="102"/>
      <c r="AM51" s="102"/>
      <c r="AN51" s="102"/>
      <c r="AO51" s="102"/>
      <c r="AP51" s="180"/>
      <c r="AQ51" s="101" t="s">
        <v>86</v>
      </c>
      <c r="AR51" s="102"/>
      <c r="AS51" s="102"/>
      <c r="AT51" s="102"/>
      <c r="AU51" s="102"/>
      <c r="AV51" s="180"/>
      <c r="AW51" s="181"/>
      <c r="AX51" s="182"/>
      <c r="AY51" s="182"/>
      <c r="AZ51" s="182"/>
      <c r="BA51" s="182"/>
      <c r="BB51" s="182"/>
      <c r="BC51" s="183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35"/>
      <c r="BR51" s="136"/>
      <c r="BS51" s="136"/>
      <c r="BT51" s="136"/>
      <c r="BU51" s="137"/>
      <c r="BV51" s="43"/>
      <c r="BW51" s="43"/>
      <c r="BX51" s="43"/>
    </row>
    <row r="52" spans="1:76" s="65" customFormat="1" ht="22.2" customHeight="1" x14ac:dyDescent="0.3">
      <c r="A52" s="93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50"/>
      <c r="V52" s="184"/>
      <c r="W52" s="185"/>
      <c r="X52" s="185"/>
      <c r="Y52" s="185"/>
      <c r="Z52" s="185"/>
      <c r="AA52" s="185"/>
      <c r="AB52" s="186"/>
      <c r="AC52" s="141"/>
      <c r="AD52" s="141"/>
      <c r="AE52" s="141"/>
      <c r="AF52" s="141"/>
      <c r="AG52" s="141"/>
      <c r="AH52" s="141"/>
      <c r="AI52" s="141"/>
      <c r="AJ52" s="184"/>
      <c r="AK52" s="185"/>
      <c r="AL52" s="185"/>
      <c r="AM52" s="185"/>
      <c r="AN52" s="185"/>
      <c r="AO52" s="185"/>
      <c r="AP52" s="186"/>
      <c r="AQ52" s="184"/>
      <c r="AR52" s="185"/>
      <c r="AS52" s="185"/>
      <c r="AT52" s="185"/>
      <c r="AU52" s="185"/>
      <c r="AV52" s="186"/>
      <c r="AW52" s="184"/>
      <c r="AX52" s="185"/>
      <c r="AY52" s="185"/>
      <c r="AZ52" s="185"/>
      <c r="BA52" s="185"/>
      <c r="BB52" s="185"/>
      <c r="BC52" s="186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38"/>
      <c r="BR52" s="139"/>
      <c r="BS52" s="139"/>
      <c r="BT52" s="139"/>
      <c r="BU52" s="140"/>
      <c r="BV52" s="93"/>
      <c r="BW52" s="93"/>
      <c r="BX52" s="93"/>
    </row>
    <row r="53" spans="1:76" ht="59.25" customHeight="1" x14ac:dyDescent="0.3">
      <c r="A53" s="43"/>
      <c r="B53" s="101" t="s">
        <v>73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82"/>
      <c r="P53" s="82"/>
      <c r="Q53" s="82"/>
      <c r="R53" s="82"/>
      <c r="S53" s="82"/>
      <c r="T53" s="82"/>
      <c r="U53" s="83"/>
      <c r="V53" s="107" t="s">
        <v>90</v>
      </c>
      <c r="W53" s="108"/>
      <c r="X53" s="108"/>
      <c r="Y53" s="108"/>
      <c r="Z53" s="108"/>
      <c r="AA53" s="108"/>
      <c r="AB53" s="109"/>
      <c r="AC53" s="120">
        <f ca="1">IF($V$53="В",ROUND(RANDBETWEEN(30,33)/1000,3),IF($V$53="А",ROUND(RANDBETWEEN(60,66)/1000,3),"буква"))</f>
        <v>0.03</v>
      </c>
      <c r="AD53" s="121"/>
      <c r="AE53" s="121"/>
      <c r="AF53" s="121"/>
      <c r="AG53" s="121"/>
      <c r="AH53" s="121"/>
      <c r="AI53" s="122"/>
      <c r="AJ53" s="119" t="str">
        <f>Данные!B6</f>
        <v>487,786</v>
      </c>
      <c r="AK53" s="119"/>
      <c r="AL53" s="119"/>
      <c r="AM53" s="119"/>
      <c r="AN53" s="119"/>
      <c r="AO53" s="119"/>
      <c r="AP53" s="90"/>
      <c r="AQ53" s="118">
        <f ca="1">AJ53+AW53</f>
        <v>487.79199999999997</v>
      </c>
      <c r="AR53" s="118"/>
      <c r="AS53" s="118"/>
      <c r="AT53" s="118"/>
      <c r="AU53" s="118"/>
      <c r="AV53" s="118"/>
      <c r="AW53" s="120">
        <f ca="1">ROUNDUP(AC53*720/3600,3)</f>
        <v>6.0000000000000001E-3</v>
      </c>
      <c r="AX53" s="121"/>
      <c r="AY53" s="121"/>
      <c r="AZ53" s="121"/>
      <c r="BA53" s="121"/>
      <c r="BB53" s="121"/>
      <c r="BC53" s="122"/>
      <c r="BD53" s="169">
        <f ca="1">AW53+RANDBETWEEN(-2,3)/10000</f>
        <v>6.1999999999999998E-3</v>
      </c>
      <c r="BE53" s="175"/>
      <c r="BF53" s="175"/>
      <c r="BG53" s="175"/>
      <c r="BH53" s="175"/>
      <c r="BI53" s="175"/>
      <c r="BJ53" s="176"/>
      <c r="BK53" s="172">
        <f ca="1">ROUND(((AW53-BD53)/BD53)*100,1)</f>
        <v>-3.2</v>
      </c>
      <c r="BL53" s="173"/>
      <c r="BM53" s="173"/>
      <c r="BN53" s="173"/>
      <c r="BO53" s="173"/>
      <c r="BP53" s="174"/>
      <c r="BQ53" s="103" t="s">
        <v>69</v>
      </c>
      <c r="BR53" s="104"/>
      <c r="BS53" s="88"/>
      <c r="BT53" s="116">
        <v>5</v>
      </c>
      <c r="BU53" s="117"/>
      <c r="BV53" s="43"/>
      <c r="BW53" s="43"/>
      <c r="BX53" s="43"/>
    </row>
    <row r="54" spans="1:76" s="60" customFormat="1" ht="55.5" customHeight="1" x14ac:dyDescent="0.3">
      <c r="A54" s="43"/>
      <c r="B54" s="101" t="s">
        <v>224</v>
      </c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94"/>
      <c r="P54" s="94"/>
      <c r="Q54" s="94"/>
      <c r="R54" s="94"/>
      <c r="S54" s="94"/>
      <c r="T54" s="94"/>
      <c r="U54" s="95"/>
      <c r="V54" s="110"/>
      <c r="W54" s="111"/>
      <c r="X54" s="111"/>
      <c r="Y54" s="111"/>
      <c r="Z54" s="111"/>
      <c r="AA54" s="111"/>
      <c r="AB54" s="112"/>
      <c r="AC54" s="120">
        <f ca="1">IF($V$53="А",ROUND(RANDBETWEEN(155,175)/1000,3),IF($V$53="В",ROUND(RANDBETWEEN(125,135)/1000,3),"буква"))</f>
        <v>0.13100000000000001</v>
      </c>
      <c r="AD54" s="121"/>
      <c r="AE54" s="121"/>
      <c r="AF54" s="121"/>
      <c r="AG54" s="121"/>
      <c r="AH54" s="121"/>
      <c r="AI54" s="122"/>
      <c r="AJ54" s="99">
        <f ca="1">AQ53+RANDBETWEEN(4,7)/1000</f>
        <v>487.79899999999998</v>
      </c>
      <c r="AK54" s="99"/>
      <c r="AL54" s="99"/>
      <c r="AM54" s="99"/>
      <c r="AN54" s="99"/>
      <c r="AO54" s="99"/>
      <c r="AP54" s="90"/>
      <c r="AQ54" s="120">
        <f t="shared" ref="AQ54:AQ55" ca="1" si="0">AJ54+AW54</f>
        <v>487.81299999999999</v>
      </c>
      <c r="AR54" s="121"/>
      <c r="AS54" s="121"/>
      <c r="AT54" s="121"/>
      <c r="AU54" s="121"/>
      <c r="AV54" s="122"/>
      <c r="AW54" s="120">
        <f ca="1">ROUNDUP(AC54*360/3600,3)</f>
        <v>1.3999999999999999E-2</v>
      </c>
      <c r="AX54" s="121"/>
      <c r="AY54" s="121"/>
      <c r="AZ54" s="121"/>
      <c r="BA54" s="121"/>
      <c r="BB54" s="121"/>
      <c r="BC54" s="122"/>
      <c r="BD54" s="169">
        <f ca="1">AW54+RANDBETWEEN(-2,2)/10000</f>
        <v>1.4199999999999999E-2</v>
      </c>
      <c r="BE54" s="175"/>
      <c r="BF54" s="175"/>
      <c r="BG54" s="175"/>
      <c r="BH54" s="175"/>
      <c r="BI54" s="175"/>
      <c r="BJ54" s="176"/>
      <c r="BK54" s="172">
        <f ca="1">ROUND(((AW54-BD54)/BD54)*100,1)</f>
        <v>-1.4</v>
      </c>
      <c r="BL54" s="173"/>
      <c r="BM54" s="173"/>
      <c r="BN54" s="173"/>
      <c r="BO54" s="173"/>
      <c r="BP54" s="174"/>
      <c r="BQ54" s="103" t="s">
        <v>69</v>
      </c>
      <c r="BR54" s="104"/>
      <c r="BS54" s="88"/>
      <c r="BT54" s="116">
        <v>2</v>
      </c>
      <c r="BU54" s="117"/>
      <c r="BV54" s="43"/>
      <c r="BW54" s="43"/>
      <c r="BX54" s="43"/>
    </row>
    <row r="55" spans="1:76" s="60" customFormat="1" ht="45.75" customHeight="1" x14ac:dyDescent="0.3">
      <c r="A55" s="43"/>
      <c r="B55" s="105" t="s">
        <v>74</v>
      </c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86"/>
      <c r="P55" s="86"/>
      <c r="Q55" s="86"/>
      <c r="R55" s="86"/>
      <c r="S55" s="86"/>
      <c r="T55" s="86"/>
      <c r="U55" s="87"/>
      <c r="V55" s="113"/>
      <c r="W55" s="114"/>
      <c r="X55" s="114"/>
      <c r="Y55" s="114"/>
      <c r="Z55" s="114"/>
      <c r="AA55" s="114"/>
      <c r="AB55" s="115"/>
      <c r="AC55" s="166">
        <f ca="1">ROUND(RANDBETWEEN(890,960)/1000,3)</f>
        <v>0.94299999999999995</v>
      </c>
      <c r="AD55" s="167"/>
      <c r="AE55" s="167"/>
      <c r="AF55" s="167"/>
      <c r="AG55" s="167"/>
      <c r="AH55" s="167"/>
      <c r="AI55" s="168"/>
      <c r="AJ55" s="99">
        <f ca="1">AQ54+RANDBETWEEN(15,18)/1000</f>
        <v>487.82900000000001</v>
      </c>
      <c r="AK55" s="99"/>
      <c r="AL55" s="99"/>
      <c r="AM55" s="99"/>
      <c r="AN55" s="99"/>
      <c r="AO55" s="99"/>
      <c r="AP55" s="90"/>
      <c r="AQ55" s="120">
        <f t="shared" ca="1" si="0"/>
        <v>487.86099999999999</v>
      </c>
      <c r="AR55" s="121"/>
      <c r="AS55" s="121"/>
      <c r="AT55" s="121"/>
      <c r="AU55" s="121"/>
      <c r="AV55" s="122"/>
      <c r="AW55" s="120">
        <f ca="1">ROUNDUP(AC55*120/3600,3)</f>
        <v>3.2000000000000001E-2</v>
      </c>
      <c r="AX55" s="121"/>
      <c r="AY55" s="121"/>
      <c r="AZ55" s="121"/>
      <c r="BA55" s="121"/>
      <c r="BB55" s="121"/>
      <c r="BC55" s="122"/>
      <c r="BD55" s="169">
        <f ca="1">AW55+RANDBETWEEN(-5,5)/10000</f>
        <v>3.2000000000000001E-2</v>
      </c>
      <c r="BE55" s="170"/>
      <c r="BF55" s="170"/>
      <c r="BG55" s="170"/>
      <c r="BH55" s="170"/>
      <c r="BI55" s="170"/>
      <c r="BJ55" s="171"/>
      <c r="BK55" s="172">
        <f ca="1">ROUND(((AW55-BD55)/BD55)*100,1)</f>
        <v>0</v>
      </c>
      <c r="BL55" s="189"/>
      <c r="BM55" s="189"/>
      <c r="BN55" s="189"/>
      <c r="BO55" s="189"/>
      <c r="BP55" s="190"/>
      <c r="BQ55" s="103" t="s">
        <v>69</v>
      </c>
      <c r="BR55" s="104"/>
      <c r="BS55" s="85"/>
      <c r="BT55" s="116">
        <v>2</v>
      </c>
      <c r="BU55" s="11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00" t="s">
        <v>215</v>
      </c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92" t="s">
        <v>8</v>
      </c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87" t="s">
        <v>225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U61" s="188"/>
      <c r="AV61" s="188"/>
      <c r="AW61" s="188"/>
      <c r="AX61" s="188"/>
      <c r="AY61" s="188"/>
      <c r="AZ61" s="188"/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43"/>
      <c r="BX61" s="43"/>
    </row>
    <row r="62" spans="1:76" ht="19.5" customHeight="1" x14ac:dyDescent="0.3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U62" s="188"/>
      <c r="AV62" s="188"/>
      <c r="AW62" s="188"/>
      <c r="AX62" s="188"/>
      <c r="AY62" s="188"/>
      <c r="AZ62" s="188"/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65" t="str">
        <f>Данные!C9</f>
        <v>Стариков С.В.</v>
      </c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93">
        <f>Данные!B10</f>
        <v>45946</v>
      </c>
      <c r="BC64" s="193"/>
      <c r="BD64" s="193"/>
      <c r="BE64" s="193"/>
      <c r="BF64" s="193"/>
      <c r="BG64" s="193"/>
      <c r="BH64" s="193"/>
      <c r="BI64" s="193"/>
      <c r="BJ64" s="193"/>
      <c r="BK64" s="193"/>
      <c r="BL64" s="193"/>
      <c r="BM64" s="193"/>
      <c r="BN64" s="193"/>
      <c r="BO64" s="193"/>
      <c r="BP64" s="193"/>
      <c r="BQ64" s="193"/>
      <c r="BR64" s="193"/>
      <c r="BS64" s="193"/>
      <c r="BT64" s="193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91" t="s">
        <v>10</v>
      </c>
      <c r="J65" s="191"/>
      <c r="K65" s="191"/>
      <c r="L65" s="191"/>
      <c r="M65" s="191"/>
      <c r="N65" s="191"/>
      <c r="O65" s="191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79"/>
      <c r="Y67" s="179"/>
      <c r="Z67" s="179"/>
      <c r="AA67" s="179"/>
      <c r="AB67" s="179"/>
      <c r="AC67" s="179"/>
      <c r="AD67" s="179"/>
      <c r="AE67" s="179"/>
      <c r="AF67" s="179"/>
      <c r="AG67" s="179"/>
      <c r="AH67" s="179"/>
      <c r="AI67" s="179"/>
      <c r="AJ67" s="179"/>
      <c r="AK67" s="179"/>
      <c r="AL67" s="179"/>
      <c r="AM67" s="179"/>
      <c r="AN67" s="179"/>
      <c r="AO67" s="179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X28:BE28"/>
    <mergeCell ref="AX29:BE29"/>
    <mergeCell ref="AX30:BF30"/>
    <mergeCell ref="AX31:BW31"/>
    <mergeCell ref="BK54:BP54"/>
    <mergeCell ref="BD50:BJ52"/>
    <mergeCell ref="AW50:BC52"/>
    <mergeCell ref="AP31:AV31"/>
    <mergeCell ref="AF28:AO28"/>
    <mergeCell ref="AP28:AV28"/>
    <mergeCell ref="AF30:AO30"/>
    <mergeCell ref="AP30:AV30"/>
    <mergeCell ref="AF31:AO31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A29:AE29"/>
    <mergeCell ref="A30:AE30"/>
    <mergeCell ref="A31:AE31"/>
    <mergeCell ref="A28:AE28"/>
    <mergeCell ref="A26:AE27"/>
    <mergeCell ref="AJ50:AV50"/>
    <mergeCell ref="A38:BO39"/>
    <mergeCell ref="A41:BV41"/>
    <mergeCell ref="BQ50:BU52"/>
    <mergeCell ref="BK50:BP52"/>
    <mergeCell ref="B48:U52"/>
    <mergeCell ref="A5:BV5"/>
    <mergeCell ref="A1:BV1"/>
    <mergeCell ref="A2:BV2"/>
    <mergeCell ref="A3:BV3"/>
    <mergeCell ref="A4:BV4"/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6" sqref="B6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235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2013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236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234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237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45946</v>
      </c>
      <c r="C10" s="13"/>
      <c r="D10" s="13"/>
      <c r="E10" s="13"/>
    </row>
    <row r="11" spans="1:21" ht="18" x14ac:dyDescent="0.35">
      <c r="A11" s="11" t="s">
        <v>15</v>
      </c>
      <c r="B11" s="76">
        <v>22.4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60.1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109.5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45949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2025-10-19T12:06:43Z</cp:lastPrinted>
  <dcterms:created xsi:type="dcterms:W3CDTF">2015-01-22T18:16:29Z</dcterms:created>
  <dcterms:modified xsi:type="dcterms:W3CDTF">2025-10-19T12:07:48Z</dcterms:modified>
</cp:coreProperties>
</file>