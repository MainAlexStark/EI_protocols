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2BD6282B-F19F-4EEE-AAC6-831C159EB6A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<sst xmlns="http://schemas.openxmlformats.org/spreadsheetml/2006/main" count="499" uniqueCount="271">
  <si>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</si>
  <si>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</si>
  <si>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</si>
  <si>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</si>
  <si>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</si>
  <si>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</si>
  <si>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</si>
  <si>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</si>
  <si>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</si>
  <si>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</si>
  <si>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</si>
  <si>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</si>
  <si>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</si>
  <si>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</si>
  <si>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</si>
  <si>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</si>
  <si>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</si>
  <si>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</si>
  <si>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</si>
  <si>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</si>
  <si>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</si>
  <si>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</si>
  <si>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</si>
  <si>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</si>
  <si>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</si>
  <si>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</si>
  <si>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</si>
  <si>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</si>
  <si>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</si>
  <si>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</si>
  <si>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</si>
  <si>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</si>
  <si>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</si>
  <si>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</si>
  <si>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</si>
  <si>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</si>
  <si>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</si>
  <si>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</si>
  <si>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</si>
  <si>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</si>
  <si>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</si>
  <si>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</si>
  <si>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</si>
  <si>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</si>
  <si>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</si>
  <si>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</si>
  <si>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</si>
  <si>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</si>
  <si>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</si>
  <si>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</si>
  <si>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</si>
  <si>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</si>
  <si>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</si>
  <si>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</si>
  <si>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</si>
  <si>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</si>
  <si>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</si>
  <si>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</si>
  <si>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</si>
  <si>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</si>
  <si>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</si>
  <si>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</si>
  <si>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</si>
  <si>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</si>
  <si>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</si>
  <si>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</si>
  <si>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</si>
  <si>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</si>
  <si>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</si>
  <si>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</si>
  <si>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</si>
  <si>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</si>
  <si>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</si>
  <si>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</si>
  <si>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</si>
  <si>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</si>
  <si>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</si>
  <si>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</si>
  <si>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</si>
  <si>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</si>
  <si>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</si>
  <si>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</si>
  <si>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</si>
  <si>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</si>
  <si>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</si>
  <si>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</si>
  <si>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</si>
  <si>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</si>
  <si>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</si>
  <si>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</si>
  <si>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</si>
  <si>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</si>
  <si>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</si>
  <si>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</si>
  <si>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</si>
  <si>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</si>
  <si>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</si>
  <si>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</si>
  <si>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</si>
  <si>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</si>
  <si>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</si>
  <si>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</si>
  <si>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</si>
  <si>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</si>
  <si>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</si>
  <si>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</si>
  <si>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</si>
  <si>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</si>
  <si>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</si>
  <si>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</si>
  <si>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</si>
  <si>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</si>
  <si>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</si>
  <si>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</si>
  <si>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</si>
  <si>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</si>
  <si>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</si>
  <si>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</si>
  <si>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</si>
  <si>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</si>
  <si>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</si>
  <si>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</si>
  <si>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</si>
  <si>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</si>
  <si>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</si>
  <si>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</si>
  <si>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</si>
  <si>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</si>
  <si>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</si>
  <si>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</si>
  <si>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</si>
  <si>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</si>
  <si>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</si>
  <si>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</si>
  <si>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</si>
  <si>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</si>
  <si>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</si>
  <si>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</si>
  <si>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</si>
  <si>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</si>
  <si>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</si>
  <si>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</si>
  <si>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</si>
  <si>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</si>
  <si>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</si>
  <si>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</si>
  <si>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</si>
  <si>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</si>
  <si>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</si>
  <si>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</si>
  <si>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</si>
  <si>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</si>
  <si>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</si>
  <si>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</si>
  <si>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</si>
  <si>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</si>
  <si>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</si>
  <si>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</si>
  <si>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</si>
  <si>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</si>
  <si>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</si>
  <si>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</si>
  <si>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</si>
  <si>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</si>
  <si>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</si>
  <si>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</si>
  <si>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</si>
  <si>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</si>
  <si>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</si>
  <si>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</si>
  <si>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</si>
  <si>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</si>
  <si>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</si>
  <si>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</si>
  <si>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</si>
  <si>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</si>
  <si>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</si>
  <si>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</si>
  <si>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</si>
  <si>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</si>
  <si>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</si>
  <si>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</si>
  <si>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</si>
  <si>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</si>
  <si>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</si>
  <si>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</si>
  <si>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</si>
  <si>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</si>
  <si>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</si>
  <si>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</si>
  <si>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</si>
  <si>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</si>
  <si>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</si>
  <si>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</si>
  <si>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</si>
  <si>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</si>
  <si>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</si>
  <si>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</si>
  <si>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</si>
  <si>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</si>
  <si>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</si>
  <si>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</si>
  <si>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</si>
  <si>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</si>
  <si>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</si>
  <si>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</si>
  <si>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</si>
  <si>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</si>
  <si>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</si>
  <si>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</si>
  <si>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</si>
  <si>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</si>
  <si>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</si>
  <si>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</si>
  <si>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</si>
  <si>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</si>
  <si>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</si>
  <si>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</si>
  <si>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</si>
  <si>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</si>
  <si>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</si>
  <si>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</si>
  <si>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</si>
  <si>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</si>
  <si>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</si>
  <si>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</si>
  <si>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</si>
  <si>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</si>
  <si>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</si>
  <si>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</si>
  <si>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</si>
  <si>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</si>
  <si>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</si>
  <si>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</si>
  <si>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</si>
  <si>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</si>
  <si>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</si>
  <si>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</si>
  <si>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</si>
  <si>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</si>
  <si>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</si>
  <si>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</si>
  <si>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</si>
  <si>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</si>
  <si>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</si>
  <si>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</si>
  <si>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</si>
  <si>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</si>
  <si>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</si>
  <si>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</si>
  <si>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</si>
  <si>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</si>
  <si>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</si>
  <si>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</si>
  <si>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</si>
  <si>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</si>
  <si>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</si>
  <si>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</si>
  <si>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</si>
  <si>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</si>
  <si>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</si>
  <si>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</si>
  <si>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</si>
  <si>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</si>
  <si>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</si>
  <si>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</si>
  <si>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</si>
  <si>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140014074</t>
  </si>
  <si>
    <t>01305</t>
  </si>
  <si>
    <t>998,181</t>
  </si>
  <si>
    <t>Яранский район, с.Каракша, ул.Космодемьянская 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</si>
</sst>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BB10" sqref="BA10:BB10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№ЕИ-04/02-01305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ЭКО-15, год изготовления 2019, заводской № 140014074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53352-13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ул.Космодемьянская 66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24.7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22.8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57.3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63.3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998,181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998.18799999999999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7.3000000000000001E-3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-4.0999999999999996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998.18999999999994</v>
      </c>
      <c r="AK54" s="144"/>
      <c r="AL54" s="144"/>
      <c r="AM54" s="144"/>
      <c r="AN54" s="144"/>
      <c r="AO54" s="144"/>
      <c r="AP54" s="145"/>
      <c r="AQ54" s="143">
        <f t="shared" ca="1" si="0"/>
        <v>998.19699999999989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7.1000000000000004E-3</v>
      </c>
      <c r="BE54" s="168"/>
      <c r="BF54" s="168"/>
      <c r="BG54" s="168"/>
      <c r="BH54" s="168"/>
      <c r="BI54" s="168"/>
      <c r="BJ54" s="169"/>
      <c r="BK54" s="146">
        <f t="shared" ca="1" si="1"/>
        <v>-1.4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998.19999999999993</v>
      </c>
      <c r="AK55" s="149"/>
      <c r="AL55" s="149"/>
      <c r="AM55" s="149"/>
      <c r="AN55" s="149"/>
      <c r="AO55" s="149"/>
      <c r="AP55" s="150"/>
      <c r="AQ55" s="143">
        <f t="shared" ca="1" si="0"/>
        <v>998.20699999999988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0.126</v>
      </c>
      <c r="AD56" s="144"/>
      <c r="AE56" s="144"/>
      <c r="AF56" s="144"/>
      <c r="AG56" s="144"/>
      <c r="AH56" s="144"/>
      <c r="AI56" s="145"/>
      <c r="AJ56" s="128">
        <f ca="1">AQ55+RANDBETWEEN(4,7)/1000</f>
        <v>998.21399999999983</v>
      </c>
      <c r="AK56" s="149"/>
      <c r="AL56" s="149"/>
      <c r="AM56" s="149"/>
      <c r="AN56" s="149"/>
      <c r="AO56" s="149"/>
      <c r="AP56" s="150"/>
      <c r="AQ56" s="143">
        <f t="shared" ca="1" si="0"/>
        <v>998.22699999999986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0.13500000000000001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998.23199999999986</v>
      </c>
      <c r="AK57" s="149"/>
      <c r="AL57" s="149"/>
      <c r="AM57" s="149"/>
      <c r="AN57" s="149"/>
      <c r="AO57" s="149"/>
      <c r="AP57" s="150"/>
      <c r="AQ57" s="143">
        <f t="shared" ca="1" si="0"/>
        <v>998.24599999999987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1.3799999999999998E-2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1.4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0.13500000000000001</v>
      </c>
      <c r="AD58" s="144"/>
      <c r="AE58" s="144"/>
      <c r="AF58" s="144"/>
      <c r="AG58" s="144"/>
      <c r="AH58" s="144"/>
      <c r="AI58" s="145"/>
      <c r="AJ58" s="128">
        <f t="shared" ca="1" si="4"/>
        <v>998.25099999999986</v>
      </c>
      <c r="AK58" s="149"/>
      <c r="AL58" s="149"/>
      <c r="AM58" s="149"/>
      <c r="AN58" s="149"/>
      <c r="AO58" s="149"/>
      <c r="AP58" s="150"/>
      <c r="AQ58" s="143">
        <f t="shared" ca="1" si="0"/>
        <v>998.26499999999987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1.3999999999999999E-2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0.94099999999999995</v>
      </c>
      <c r="AD59" s="129"/>
      <c r="AE59" s="129"/>
      <c r="AF59" s="129"/>
      <c r="AG59" s="129"/>
      <c r="AH59" s="129"/>
      <c r="AI59" s="130"/>
      <c r="AJ59" s="153">
        <f ca="1">AQ58+RANDBETWEEN(15,18)/1000</f>
        <v>998.27999999999986</v>
      </c>
      <c r="AK59" s="154"/>
      <c r="AL59" s="154"/>
      <c r="AM59" s="154"/>
      <c r="AN59" s="154"/>
      <c r="AO59" s="154"/>
      <c r="AP59" s="155"/>
      <c r="AQ59" s="189">
        <f ca="1">AJ59+AW59</f>
        <v>998.3119999999999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3.2100000000000004E-2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0.91500000000000004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998.32699999999988</v>
      </c>
      <c r="AK60" s="149"/>
      <c r="AL60" s="149"/>
      <c r="AM60" s="149"/>
      <c r="AN60" s="149"/>
      <c r="AO60" s="149"/>
      <c r="AP60" s="150"/>
      <c r="AQ60" s="143">
        <f t="shared" ca="1" si="0"/>
        <v>998.35799999999983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3.0499999999999999E-2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0.90200000000000002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998.37599999999986</v>
      </c>
      <c r="AK61" s="92"/>
      <c r="AL61" s="92"/>
      <c r="AM61" s="92"/>
      <c r="AN61" s="92"/>
      <c r="AO61" s="92"/>
      <c r="AP61" s="93"/>
      <c r="AQ61" s="192">
        <f t="shared" ca="1" si="0"/>
        <v>998.40699999999981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3.1199999999999999E-2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161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24.7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2025-10-19T08:41:11Z</cp:lastPrinted>
  <dcterms:created xsi:type="dcterms:W3CDTF">2015-01-22T18:16:29Z</dcterms:created>
  <dcterms:modified xsi:type="dcterms:W3CDTF">2025-10-19T08:42:02Z</dcterms:modified>
</cp:coreProperties>
</file>