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8_{3D419A4B-E924-4BE2-AEE5-A2AEE4FAB8B5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<sst xmlns="http://schemas.openxmlformats.org/spreadsheetml/2006/main" count="407" uniqueCount="238">
  <si>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</si>
  <si>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</si>
  <si>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</si>
  <si>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</si>
  <si>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</si>
  <si>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</si>
  <si>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</si>
  <si>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</si>
  <si>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</si>
  <si>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</si>
  <si>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</si>
  <si>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</si>
  <si>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</si>
  <si>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</si>
  <si>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</si>
  <si>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</si>
  <si>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</si>
  <si>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</si>
  <si>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</si>
  <si>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</si>
  <si>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</si>
  <si>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</si>
  <si>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</si>
  <si>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</si>
  <si>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</si>
  <si>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</si>
  <si>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</si>
  <si>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</si>
  <si>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</si>
  <si>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</si>
  <si>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</si>
  <si>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</si>
  <si>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</si>
  <si>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</si>
  <si>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</si>
  <si>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</si>
  <si>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</si>
  <si>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</si>
  <si>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</si>
  <si>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</si>
  <si>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</si>
  <si>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</si>
  <si>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</si>
  <si>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</si>
  <si>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</si>
  <si>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</si>
  <si>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</si>
  <si>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</si>
  <si>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</si>
  <si>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</si>
  <si>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</si>
  <si>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</si>
  <si>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</si>
  <si>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</si>
  <si>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</si>
  <si>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</si>
  <si>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</si>
  <si>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</si>
  <si>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</si>
  <si>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</si>
  <si>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</si>
  <si>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</si>
  <si>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</si>
  <si>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</si>
  <si>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</si>
  <si>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</si>
  <si>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</si>
  <si>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</si>
  <si>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</si>
  <si>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</si>
  <si>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</si>
  <si>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</si>
  <si>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</si>
  <si>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</si>
  <si>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</si>
  <si>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</si>
  <si>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</si>
  <si>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</si>
  <si>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</si>
  <si>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</si>
  <si>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</si>
  <si>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</si>
  <si>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</si>
  <si>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</si>
  <si>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</si>
  <si>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</si>
  <si>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</si>
  <si>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</si>
  <si>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</si>
  <si>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</si>
  <si>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</si>
  <si>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</si>
  <si>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</si>
  <si>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</si>
  <si>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</si>
  <si>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</si>
  <si>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</si>
  <si>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</si>
  <si>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</si>
  <si>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</si>
  <si>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</si>
  <si>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</si>
  <si>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</si>
  <si>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</si>
  <si>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</si>
  <si>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</si>
  <si>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</si>
  <si>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</si>
  <si>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</si>
  <si>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</si>
  <si>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</si>
  <si>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</si>
  <si>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</si>
  <si>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</si>
  <si>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</si>
  <si>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</si>
  <si>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</si>
  <si>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</si>
  <si>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</si>
  <si>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</si>
  <si>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</si>
  <si>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</si>
  <si>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</si>
  <si>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</si>
  <si>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</si>
  <si>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</si>
  <si>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</si>
  <si>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</si>
  <si>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</si>
  <si>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</si>
  <si>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</si>
  <si>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</si>
  <si>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</si>
  <si>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</si>
  <si>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</si>
  <si>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</si>
  <si>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</si>
  <si>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</si>
  <si>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</si>
  <si>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</si>
  <si>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</si>
  <si>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</si>
  <si>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</si>
  <si>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</si>
  <si>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</si>
  <si>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</si>
  <si>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</si>
  <si>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</si>
  <si>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</si>
  <si>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</si>
  <si>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</si>
  <si>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</si>
  <si>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</si>
  <si>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</si>
  <si>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</si>
  <si>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</si>
  <si>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</si>
  <si>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</si>
  <si>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</si>
  <si>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</si>
  <si>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</si>
  <si>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</si>
  <si>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</si>
  <si>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</si>
  <si>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</si>
  <si>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</si>
  <si>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</si>
  <si>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</si>
  <si>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</si>
  <si>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</si>
  <si>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</si>
  <si>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</si>
  <si>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</si>
  <si>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</si>
  <si>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</si>
  <si>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</si>
  <si>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</si>
  <si>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</si>
  <si>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</si>
  <si>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</si>
  <si>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</si>
  <si>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</si>
  <si>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</si>
  <si>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</si>
  <si>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</si>
  <si>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</si>
  <si>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</si>
  <si>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</si>
  <si>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</si>
  <si>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</si>
  <si>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</si>
  <si>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</si>
  <si>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</si>
  <si>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</si>
  <si>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</si>
  <si>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</si>
  <si>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</si>
  <si>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</si>
  <si>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</si>
  <si>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</si>
  <si>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</si>
  <si>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</si>
  <si>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</si>
  <si>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</si>
  <si>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</si>
  <si>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</si>
  <si>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</si>
  <si>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</si>
  <si>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</si>
  <si>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</si>
  <si>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</si>
  <si>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</si>
  <si>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</si>
  <si>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</si>
  <si>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</si>
  <si>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</si>
  <si>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</si>
  <si>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</si>
  <si>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</si>
  <si>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</si>
  <si>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</si>
  <si>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</si>
  <si>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</si>
  <si>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</si>
  <si>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</si>
  <si>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</si>
  <si>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</si>
  <si>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</si>
  <si>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</si>
  <si>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</si>
  <si>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</si>
  <si>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</si>
  <si>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</si>
  <si>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</si>
  <si>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 Киров, ул. Красный Химик, 2-117</t>
  </si>
  <si>
    <t>01252</t>
  </si>
  <si>
    <t>30953285</t>
  </si>
  <si>
    <t>726,861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</si>
</sst>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№ЕИ-04/02-01252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2013, заводской № 30953285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 Киров, ул. Красный Химик, 2-117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25.4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26.099999999999998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43.2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52.6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102.3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102.3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6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6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0.03</v>
      </c>
      <c r="AD53" s="121"/>
      <c r="AE53" s="121"/>
      <c r="AF53" s="121"/>
      <c r="AG53" s="121"/>
      <c r="AH53" s="121"/>
      <c r="AI53" s="122"/>
      <c r="AJ53" s="119" t="str">
        <f>Данные!B6</f>
        <v>726,861</v>
      </c>
      <c r="AK53" s="119"/>
      <c r="AL53" s="119"/>
      <c r="AM53" s="119"/>
      <c r="AN53" s="119"/>
      <c r="AO53" s="119"/>
      <c r="AP53" s="90"/>
      <c r="AQ53" s="118">
        <f ca="1">AJ53+AW53</f>
        <v>726.86699999999996</v>
      </c>
      <c r="AR53" s="118"/>
      <c r="AS53" s="118"/>
      <c r="AT53" s="118"/>
      <c r="AU53" s="118"/>
      <c r="AV53" s="118"/>
      <c r="AW53" s="120">
        <f ca="1">ROUNDUP(AC53*720/3600,3)</f>
        <v>6.0000000000000001E-3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6.1999999999999998E-3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-3.2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0.13500000000000001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726.87099999999998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726.88499999999999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1.3799999999999998E-2</v>
      </c>
      <c r="BE54" s="175"/>
      <c r="BF54" s="175"/>
      <c r="BG54" s="175"/>
      <c r="BH54" s="175"/>
      <c r="BI54" s="175"/>
      <c r="BJ54" s="176"/>
      <c r="BK54" s="172">
        <f ca="1">ROUND(((AW54-BD54)/BD54)*100,1)</f>
        <v>1.4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0.92300000000000004</v>
      </c>
      <c r="AD55" s="167"/>
      <c r="AE55" s="167"/>
      <c r="AF55" s="167"/>
      <c r="AG55" s="167"/>
      <c r="AH55" s="167"/>
      <c r="AI55" s="168"/>
      <c r="AJ55" s="99">
        <f ca="1">AQ54+RANDBETWEEN(15,18)/1000</f>
        <v>726.9</v>
      </c>
      <c r="AK55" s="99"/>
      <c r="AL55" s="99"/>
      <c r="AM55" s="99"/>
      <c r="AN55" s="99"/>
      <c r="AO55" s="99"/>
      <c r="AP55" s="90"/>
      <c r="AQ55" s="120">
        <f t="shared" ca="1" si="0"/>
        <v>726.93099999999993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3.1199999999999999E-2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45932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45932</v>
      </c>
      <c r="C10" s="13"/>
      <c r="D10" s="13"/>
      <c r="E10" s="13"/>
    </row>
    <row r="11" spans="1:21" ht="18" x14ac:dyDescent="0.35">
      <c r="A11" s="11" t="s">
        <v>15</v>
      </c>
      <c r="B11" s="76">
        <v>25.4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43.2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102.3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2025-09-30T17:05:09Z</cp:lastPrinted>
  <dcterms:created xsi:type="dcterms:W3CDTF">2015-01-22T18:16:29Z</dcterms:created>
  <dcterms:modified xsi:type="dcterms:W3CDTF">2025-10-08T12:10:56Z</dcterms:modified>
</cp:coreProperties>
</file>