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7.10.2025\"/>
    </mc:Choice>
  </mc:AlternateContent>
  <xr:revisionPtr revIDLastSave="0" documentId="8_{B0C192A5-F54B-45BC-9911-58C7E5F9E2B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<sst xmlns="http://schemas.openxmlformats.org/spreadsheetml/2006/main" count="407" uniqueCount="238">
  <si>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</si>
  <si>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</si>
  <si>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</si>
  <si>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</si>
  <si>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</si>
  <si>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</si>
  <si>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</si>
  <si>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</si>
  <si>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</si>
  <si>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</si>
  <si>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</si>
  <si>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</si>
  <si>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</si>
  <si>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</si>
  <si>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</si>
  <si>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</si>
  <si>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</si>
  <si>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</si>
  <si>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</si>
  <si>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</si>
  <si>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</si>
  <si>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</si>
  <si>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</si>
  <si>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</si>
  <si>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</si>
  <si>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</si>
  <si>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</si>
  <si>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</si>
  <si>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</si>
  <si>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</si>
  <si>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</si>
  <si>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</si>
  <si>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</si>
  <si>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</si>
  <si>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</si>
  <si>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</si>
  <si>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</si>
  <si>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</si>
  <si>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</si>
  <si>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</si>
  <si>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</si>
  <si>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</si>
  <si>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</si>
  <si>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</si>
  <si>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</si>
  <si>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</si>
  <si>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</si>
  <si>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</si>
  <si>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</si>
  <si>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</si>
  <si>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</si>
  <si>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</si>
  <si>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</si>
  <si>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</si>
  <si>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</si>
  <si>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</si>
  <si>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</si>
  <si>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</si>
  <si>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</si>
  <si>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</si>
  <si>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</si>
  <si>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</si>
  <si>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</si>
  <si>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</si>
  <si>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</si>
  <si>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</si>
  <si>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</si>
  <si>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</si>
  <si>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</si>
  <si>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</si>
  <si>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</si>
  <si>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</si>
  <si>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</si>
  <si>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</si>
  <si>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</si>
  <si>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</si>
  <si>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</si>
  <si>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</si>
  <si>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</si>
  <si>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</si>
  <si>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</si>
  <si>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</si>
  <si>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</si>
  <si>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</si>
  <si>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</si>
  <si>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</si>
  <si>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</si>
  <si>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</si>
  <si>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</si>
  <si>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</si>
  <si>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</si>
  <si>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</si>
  <si>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</si>
  <si>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</si>
  <si>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</si>
  <si>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</si>
  <si>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</si>
  <si>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</si>
  <si>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</si>
  <si>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</si>
  <si>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</si>
  <si>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</si>
  <si>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</si>
  <si>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</si>
  <si>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</si>
  <si>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</si>
  <si>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</si>
  <si>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</si>
  <si>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</si>
  <si>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</si>
  <si>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</si>
  <si>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</si>
  <si>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</si>
  <si>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</si>
  <si>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</si>
  <si>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</si>
  <si>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</si>
  <si>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</si>
  <si>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</si>
  <si>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</si>
  <si>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</si>
  <si>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</si>
  <si>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</si>
  <si>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</si>
  <si>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</si>
  <si>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</si>
  <si>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</si>
  <si>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</si>
  <si>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</si>
  <si>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</si>
  <si>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</si>
  <si>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</si>
  <si>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</si>
  <si>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</si>
  <si>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</si>
  <si>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</si>
  <si>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</si>
  <si>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</si>
  <si>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</si>
  <si>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</si>
  <si>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</si>
  <si>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</si>
  <si>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</si>
  <si>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</si>
  <si>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</si>
  <si>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</si>
  <si>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</si>
  <si>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</si>
  <si>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</si>
  <si>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</si>
  <si>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</si>
  <si>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</si>
  <si>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</si>
  <si>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</si>
  <si>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</si>
  <si>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</si>
  <si>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</si>
  <si>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</si>
  <si>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</si>
  <si>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</si>
  <si>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</si>
  <si>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</si>
  <si>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</si>
  <si>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</si>
  <si>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</si>
  <si>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</si>
  <si>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</si>
  <si>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</si>
  <si>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</si>
  <si>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</si>
  <si>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</si>
  <si>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</si>
  <si>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</si>
  <si>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</si>
  <si>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</si>
  <si>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</si>
  <si>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</si>
  <si>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</si>
  <si>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</si>
  <si>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</si>
  <si>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</si>
  <si>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</si>
  <si>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</si>
  <si>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</si>
  <si>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</si>
  <si>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</si>
  <si>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</si>
  <si>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</si>
  <si>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</si>
  <si>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</si>
  <si>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</si>
  <si>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</si>
  <si>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</si>
  <si>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</si>
  <si>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</si>
  <si>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</si>
  <si>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</si>
  <si>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</si>
  <si>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</si>
  <si>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</si>
  <si>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</si>
  <si>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</si>
  <si>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</si>
  <si>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</si>
  <si>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</si>
  <si>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</si>
  <si>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</si>
  <si>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</si>
  <si>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</si>
  <si>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</si>
  <si>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</si>
  <si>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</si>
  <si>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</si>
  <si>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</si>
  <si>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</si>
  <si>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</si>
  <si>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</si>
  <si>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</si>
  <si>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</si>
  <si>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</si>
  <si>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</si>
  <si>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</si>
  <si>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</si>
  <si>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</si>
  <si>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</si>
  <si>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</si>
  <si>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</si>
  <si>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</si>
  <si>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</si>
  <si>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</si>
  <si>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</si>
  <si>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</si>
  <si>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</si>
  <si>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</si>
  <si>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г.Яранск, ул.Карла Маркса 51-3</t>
  </si>
  <si>
    <t>01335</t>
  </si>
  <si>
    <t>30337458</t>
  </si>
  <si>
    <t>162,886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</si>
</sst>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topLeftCell="A7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№ЕИ-04/02-01335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2013, заводской № 30337458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ул.Карла Маркса 51-3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25.3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28.8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58.3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63.199999999999996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104.8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104.8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6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6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3.2000000000000001E-2</v>
      </c>
      <c r="AD53" s="121"/>
      <c r="AE53" s="121"/>
      <c r="AF53" s="121"/>
      <c r="AG53" s="121"/>
      <c r="AH53" s="121"/>
      <c r="AI53" s="122"/>
      <c r="AJ53" s="119" t="str">
        <f>Данные!B6</f>
        <v>162,886</v>
      </c>
      <c r="AK53" s="119"/>
      <c r="AL53" s="119"/>
      <c r="AM53" s="119"/>
      <c r="AN53" s="119"/>
      <c r="AO53" s="119"/>
      <c r="AP53" s="90"/>
      <c r="AQ53" s="118">
        <f ca="1">AJ53+AW53</f>
        <v>162.893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6.8999999999999999E-3</v>
      </c>
      <c r="BE53" s="175"/>
      <c r="BF53" s="175"/>
      <c r="BG53" s="175"/>
      <c r="BH53" s="175"/>
      <c r="BI53" s="175"/>
      <c r="BJ53" s="176"/>
      <c r="BK53" s="172">
        <f ca="1">ROUND(((AW53-BD53)/BD53)*100,1)</f>
        <v>1.4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0.13500000000000001</v>
      </c>
      <c r="AD54" s="121"/>
      <c r="AE54" s="121"/>
      <c r="AF54" s="121"/>
      <c r="AG54" s="121"/>
      <c r="AH54" s="121"/>
      <c r="AI54" s="122"/>
      <c r="AJ54" s="99">
        <f ca="1">AQ53+RANDBETWEEN(4,7)/1000</f>
        <v>162.899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162.91300000000001</v>
      </c>
      <c r="AR54" s="121"/>
      <c r="AS54" s="121"/>
      <c r="AT54" s="121"/>
      <c r="AU54" s="121"/>
      <c r="AV54" s="122"/>
      <c r="AW54" s="120">
        <f ca="1">ROUNDUP(AC54*360/3600,3)</f>
        <v>1.3999999999999999E-2</v>
      </c>
      <c r="AX54" s="121"/>
      <c r="AY54" s="121"/>
      <c r="AZ54" s="121"/>
      <c r="BA54" s="121"/>
      <c r="BB54" s="121"/>
      <c r="BC54" s="122"/>
      <c r="BD54" s="169">
        <f ca="1">AW54+RANDBETWEEN(-2,2)/10000</f>
        <v>1.3799999999999998E-2</v>
      </c>
      <c r="BE54" s="175"/>
      <c r="BF54" s="175"/>
      <c r="BG54" s="175"/>
      <c r="BH54" s="175"/>
      <c r="BI54" s="175"/>
      <c r="BJ54" s="176"/>
      <c r="BK54" s="172">
        <f ca="1">ROUND(((AW54-BD54)/BD54)*100,1)</f>
        <v>1.4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0.89600000000000002</v>
      </c>
      <c r="AD55" s="167"/>
      <c r="AE55" s="167"/>
      <c r="AF55" s="167"/>
      <c r="AG55" s="167"/>
      <c r="AH55" s="167"/>
      <c r="AI55" s="168"/>
      <c r="AJ55" s="99">
        <f ca="1">AQ54+RANDBETWEEN(15,18)/1000</f>
        <v>162.93100000000001</v>
      </c>
      <c r="AK55" s="99"/>
      <c r="AL55" s="99"/>
      <c r="AM55" s="99"/>
      <c r="AN55" s="99"/>
      <c r="AO55" s="99"/>
      <c r="AP55" s="90"/>
      <c r="AQ55" s="120">
        <f t="shared" ca="1" si="0"/>
        <v>162.96100000000001</v>
      </c>
      <c r="AR55" s="121"/>
      <c r="AS55" s="121"/>
      <c r="AT55" s="121"/>
      <c r="AU55" s="121"/>
      <c r="AV55" s="122"/>
      <c r="AW55" s="120">
        <f ca="1">ROUNDUP(AC55*120/3600,3)</f>
        <v>3.0000000000000002E-2</v>
      </c>
      <c r="AX55" s="121"/>
      <c r="AY55" s="121"/>
      <c r="AZ55" s="121"/>
      <c r="BA55" s="121"/>
      <c r="BB55" s="121"/>
      <c r="BC55" s="122"/>
      <c r="BD55" s="169">
        <f ca="1">AW55+RANDBETWEEN(-5,5)/10000</f>
        <v>3.0200000000000001E-2</v>
      </c>
      <c r="BE55" s="170"/>
      <c r="BF55" s="170"/>
      <c r="BG55" s="170"/>
      <c r="BH55" s="170"/>
      <c r="BI55" s="170"/>
      <c r="BJ55" s="171"/>
      <c r="BK55" s="172">
        <f ca="1">ROUND(((AW55-BD55)/BD55)*100,1)</f>
        <v>-0.7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45947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C4" sqref="C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235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2013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236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234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45947</v>
      </c>
      <c r="C10" s="13"/>
      <c r="D10" s="13"/>
      <c r="E10" s="13"/>
    </row>
    <row r="11" spans="1:21" ht="18" x14ac:dyDescent="0.35">
      <c r="A11" s="11" t="s">
        <v>15</v>
      </c>
      <c r="B11" s="76">
        <v>25.3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58.3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104.8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6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6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45951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2025-10-21T05:50:05Z</cp:lastPrinted>
  <dcterms:created xsi:type="dcterms:W3CDTF">2015-01-22T18:16:29Z</dcterms:created>
  <dcterms:modified xsi:type="dcterms:W3CDTF">2025-10-21T05:50:56Z</dcterms:modified>
</cp:coreProperties>
</file>