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F4E86E1F-11B7-4447-ABFA-29A63D93F8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<sst xmlns="http://schemas.openxmlformats.org/spreadsheetml/2006/main" count="407" uniqueCount="238">
  <si>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</si>
  <si>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</si>
  <si>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</si>
  <si>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</si>
  <si>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</si>
  <si>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</si>
  <si>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</si>
  <si>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</si>
  <si>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</si>
  <si>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</si>
  <si>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</si>
  <si>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</si>
  <si>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</si>
  <si>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</si>
  <si>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</si>
  <si>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</si>
  <si>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</si>
  <si>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</si>
  <si>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</si>
  <si>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</si>
  <si>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</si>
  <si>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</si>
  <si>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</si>
  <si>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</si>
  <si>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</si>
  <si>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</si>
  <si>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</si>
  <si>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</si>
  <si>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</si>
  <si>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</si>
  <si>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</si>
  <si>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</si>
  <si>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</si>
  <si>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</si>
  <si>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</si>
  <si>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</si>
  <si>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</si>
  <si>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</si>
  <si>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</si>
  <si>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</si>
  <si>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</si>
  <si>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</si>
  <si>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</si>
  <si>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</si>
  <si>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</si>
  <si>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</si>
  <si>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</si>
  <si>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</si>
  <si>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</si>
  <si>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</si>
  <si>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</si>
  <si>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</si>
  <si>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</si>
  <si>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</si>
  <si>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</si>
  <si>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</si>
  <si>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</si>
  <si>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</si>
  <si>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</si>
  <si>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</si>
  <si>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</si>
  <si>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</si>
  <si>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</si>
  <si>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</si>
  <si>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</si>
  <si>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</si>
  <si>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</si>
  <si>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</si>
  <si>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</si>
  <si>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</si>
  <si>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</si>
  <si>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</si>
  <si>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</si>
  <si>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</si>
  <si>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</si>
  <si>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</si>
  <si>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</si>
  <si>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</si>
  <si>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</si>
  <si>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</si>
  <si>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</si>
  <si>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</si>
  <si>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</si>
  <si>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</si>
  <si>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</si>
  <si>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</si>
  <si>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</si>
  <si>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</si>
  <si>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</si>
  <si>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</si>
  <si>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</si>
  <si>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</si>
  <si>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</si>
  <si>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</si>
  <si>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</si>
  <si>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</si>
  <si>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</si>
  <si>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</si>
  <si>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</si>
  <si>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</si>
  <si>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</si>
  <si>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</si>
  <si>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</si>
  <si>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</si>
  <si>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</si>
  <si>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</si>
  <si>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</si>
  <si>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</si>
  <si>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</si>
  <si>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</si>
  <si>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</si>
  <si>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</si>
  <si>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</si>
  <si>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</si>
  <si>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</si>
  <si>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</si>
  <si>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</si>
  <si>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</si>
  <si>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</si>
  <si>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</si>
  <si>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</si>
  <si>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</si>
  <si>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</si>
  <si>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</si>
  <si>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</si>
  <si>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</si>
  <si>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</si>
  <si>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</si>
  <si>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</si>
  <si>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</si>
  <si>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</si>
  <si>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</si>
  <si>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</si>
  <si>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</si>
  <si>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</si>
  <si>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</si>
  <si>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</si>
  <si>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</si>
  <si>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</si>
  <si>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</si>
  <si>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</si>
  <si>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</si>
  <si>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</si>
  <si>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</si>
  <si>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</si>
  <si>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</si>
  <si>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</si>
  <si>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</si>
  <si>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</si>
  <si>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</si>
  <si>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</si>
  <si>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</si>
  <si>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</si>
  <si>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</si>
  <si>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</si>
  <si>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</si>
  <si>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</si>
  <si>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</si>
  <si>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</si>
  <si>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</si>
  <si>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</si>
  <si>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</si>
  <si>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</si>
  <si>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</si>
  <si>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</si>
  <si>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</si>
  <si>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</si>
  <si>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</si>
  <si>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</si>
  <si>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</si>
  <si>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</si>
  <si>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</si>
  <si>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</si>
  <si>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</si>
  <si>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</si>
  <si>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</si>
  <si>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</si>
  <si>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</si>
  <si>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</si>
  <si>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</si>
  <si>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</si>
  <si>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</si>
  <si>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</si>
  <si>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</si>
  <si>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</si>
  <si>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</si>
  <si>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</si>
  <si>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</si>
  <si>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</si>
  <si>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</si>
  <si>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</si>
  <si>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</si>
  <si>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</si>
  <si>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</si>
  <si>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</si>
  <si>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</si>
  <si>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</si>
  <si>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</si>
  <si>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</si>
  <si>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</si>
  <si>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</si>
  <si>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</si>
  <si>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</si>
  <si>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</si>
  <si>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</si>
  <si>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</si>
  <si>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</si>
  <si>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</si>
  <si>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</si>
  <si>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</si>
  <si>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</si>
  <si>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</si>
  <si>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</si>
  <si>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</si>
  <si>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</si>
  <si>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</si>
  <si>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</si>
  <si>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</si>
  <si>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</si>
  <si>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</si>
  <si>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</si>
  <si>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</si>
  <si>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</si>
  <si>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</si>
  <si>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</si>
  <si>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</si>
  <si>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</si>
  <si>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</si>
  <si>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</si>
  <si>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</si>
  <si>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</si>
  <si>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</si>
  <si>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</si>
  <si>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</si>
  <si>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01337</t>
  </si>
  <si>
    <t>15894850</t>
  </si>
  <si>
    <t>235,276</t>
  </si>
  <si>
    <t>г.Яранск, ул.Свободы 16-1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</si>
</sst>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34" fillId="0" borderId="17" xfId="0" applyFont="1" applyBorder="1" applyAlignment="1">
      <alignment horizont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164" fontId="25" fillId="0" borderId="0" xfId="0" applyNumberFormat="1" applyFont="1" applyBorder="1" applyAlignment="1">
      <alignment horizontal="left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0" fontId="1" fillId="0" borderId="0" xfId="0" applyFont="1" applyAlignment="1">
      <alignment horizontal="center"/>
    </xf>
    <xf numFmtId="167" fontId="27" fillId="0" borderId="17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34" fillId="0" borderId="17" xfId="0" applyFont="1" applyBorder="1" applyAlignment="1">
      <alignment horizontal="left" vertical="center"/>
    </xf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tabSelected="1"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81" t="s">
        <v>97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  <c r="BB1" s="181"/>
      <c r="BC1" s="181"/>
      <c r="BD1" s="181"/>
      <c r="BE1" s="181"/>
      <c r="BF1" s="181"/>
      <c r="BG1" s="181"/>
      <c r="BH1" s="181"/>
      <c r="BI1" s="181"/>
      <c r="BJ1" s="181"/>
      <c r="BK1" s="181"/>
      <c r="BL1" s="181"/>
      <c r="BM1" s="181"/>
      <c r="BN1" s="181"/>
      <c r="BO1" s="181"/>
      <c r="BP1" s="181"/>
      <c r="BQ1" s="181"/>
      <c r="BR1" s="181"/>
      <c r="BS1" s="181"/>
      <c r="BT1" s="181"/>
      <c r="BU1" s="181"/>
      <c r="BV1" s="181"/>
      <c r="BW1" s="43"/>
      <c r="BX1" s="43"/>
      <c r="BY1" s="91"/>
      <c r="BZ1" s="91"/>
      <c r="CA1" s="91"/>
      <c r="CB1" s="91"/>
    </row>
    <row r="2" spans="1:80" ht="18" customHeight="1" x14ac:dyDescent="0.3">
      <c r="A2" s="181" t="s">
        <v>98</v>
      </c>
      <c r="B2" s="181"/>
      <c r="C2" s="181"/>
      <c r="D2" s="181"/>
      <c r="E2" s="181"/>
      <c r="F2" s="181"/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  <c r="AA2" s="181"/>
      <c r="AB2" s="181"/>
      <c r="AC2" s="181"/>
      <c r="AD2" s="181"/>
      <c r="AE2" s="181"/>
      <c r="AF2" s="181"/>
      <c r="AG2" s="181"/>
      <c r="AH2" s="181"/>
      <c r="AI2" s="181"/>
      <c r="AJ2" s="181"/>
      <c r="AK2" s="181"/>
      <c r="AL2" s="181"/>
      <c r="AM2" s="181"/>
      <c r="AN2" s="181"/>
      <c r="AO2" s="181"/>
      <c r="AP2" s="181"/>
      <c r="AQ2" s="181"/>
      <c r="AR2" s="181"/>
      <c r="AS2" s="181"/>
      <c r="AT2" s="181"/>
      <c r="AU2" s="181"/>
      <c r="AV2" s="181"/>
      <c r="AW2" s="181"/>
      <c r="AX2" s="181"/>
      <c r="AY2" s="181"/>
      <c r="AZ2" s="181"/>
      <c r="BA2" s="181"/>
      <c r="BB2" s="181"/>
      <c r="BC2" s="181"/>
      <c r="BD2" s="181"/>
      <c r="BE2" s="181"/>
      <c r="BF2" s="181"/>
      <c r="BG2" s="181"/>
      <c r="BH2" s="181"/>
      <c r="BI2" s="181"/>
      <c r="BJ2" s="181"/>
      <c r="BK2" s="181"/>
      <c r="BL2" s="181"/>
      <c r="BM2" s="181"/>
      <c r="BN2" s="181"/>
      <c r="BO2" s="181"/>
      <c r="BP2" s="181"/>
      <c r="BQ2" s="181"/>
      <c r="BR2" s="181"/>
      <c r="BS2" s="181"/>
      <c r="BT2" s="181"/>
      <c r="BU2" s="181"/>
      <c r="BV2" s="181"/>
      <c r="BW2" s="43"/>
      <c r="BX2" s="43"/>
    </row>
    <row r="3" spans="1:80" ht="18.75" customHeight="1" x14ac:dyDescent="0.3">
      <c r="A3" s="182" t="s">
        <v>100</v>
      </c>
      <c r="B3" s="182"/>
      <c r="C3" s="182"/>
      <c r="D3" s="182"/>
      <c r="E3" s="182"/>
      <c r="F3" s="182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  <c r="AT3" s="182"/>
      <c r="AU3" s="182"/>
      <c r="AV3" s="182"/>
      <c r="AW3" s="182"/>
      <c r="AX3" s="182"/>
      <c r="AY3" s="182"/>
      <c r="AZ3" s="182"/>
      <c r="BA3" s="182"/>
      <c r="BB3" s="182"/>
      <c r="BC3" s="182"/>
      <c r="BD3" s="182"/>
      <c r="BE3" s="182"/>
      <c r="BF3" s="182"/>
      <c r="BG3" s="182"/>
      <c r="BH3" s="182"/>
      <c r="BI3" s="182"/>
      <c r="BJ3" s="182"/>
      <c r="BK3" s="182"/>
      <c r="BL3" s="182"/>
      <c r="BM3" s="182"/>
      <c r="BN3" s="182"/>
      <c r="BO3" s="182"/>
      <c r="BP3" s="182"/>
      <c r="BQ3" s="182"/>
      <c r="BR3" s="182"/>
      <c r="BS3" s="182"/>
      <c r="BT3" s="182"/>
      <c r="BU3" s="182"/>
      <c r="BV3" s="182"/>
      <c r="BW3" s="43"/>
      <c r="BX3" s="43"/>
    </row>
    <row r="4" spans="1:80" x14ac:dyDescent="0.3">
      <c r="A4" s="182" t="s">
        <v>99</v>
      </c>
      <c r="B4" s="182"/>
      <c r="C4" s="182"/>
      <c r="D4" s="182"/>
      <c r="E4" s="182"/>
      <c r="F4" s="182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  <c r="AT4" s="182"/>
      <c r="AU4" s="182"/>
      <c r="AV4" s="182"/>
      <c r="AW4" s="182"/>
      <c r="AX4" s="182"/>
      <c r="AY4" s="182"/>
      <c r="AZ4" s="182"/>
      <c r="BA4" s="182"/>
      <c r="BB4" s="182"/>
      <c r="BC4" s="182"/>
      <c r="BD4" s="182"/>
      <c r="BE4" s="182"/>
      <c r="BF4" s="182"/>
      <c r="BG4" s="182"/>
      <c r="BH4" s="182"/>
      <c r="BI4" s="182"/>
      <c r="BJ4" s="182"/>
      <c r="BK4" s="182"/>
      <c r="BL4" s="182"/>
      <c r="BM4" s="182"/>
      <c r="BN4" s="182"/>
      <c r="BO4" s="182"/>
      <c r="BP4" s="182"/>
      <c r="BQ4" s="182"/>
      <c r="BR4" s="182"/>
      <c r="BS4" s="182"/>
      <c r="BT4" s="182"/>
      <c r="BU4" s="182"/>
      <c r="BV4" s="182"/>
      <c r="BW4" s="43"/>
      <c r="BX4" s="43"/>
    </row>
    <row r="5" spans="1:80" ht="27" customHeight="1" x14ac:dyDescent="0.35">
      <c r="A5" s="180" t="str">
        <f>CONCATENATE("ПРОТОКОЛ №","ЕИ-04/",Данные!B9,"-",Данные!B2)</f>
        <v>ПРОТОКОЛ №ЕИ-04/02-01337</v>
      </c>
      <c r="B5" s="180"/>
      <c r="C5" s="180"/>
      <c r="D5" s="180"/>
      <c r="E5" s="180"/>
      <c r="F5" s="180"/>
      <c r="G5" s="180"/>
      <c r="H5" s="180"/>
      <c r="I5" s="180"/>
      <c r="J5" s="180"/>
      <c r="K5" s="180"/>
      <c r="L5" s="180"/>
      <c r="M5" s="180"/>
      <c r="N5" s="180"/>
      <c r="O5" s="180"/>
      <c r="P5" s="180"/>
      <c r="Q5" s="180"/>
      <c r="R5" s="180"/>
      <c r="S5" s="180"/>
      <c r="T5" s="180"/>
      <c r="U5" s="180"/>
      <c r="V5" s="180"/>
      <c r="W5" s="180"/>
      <c r="X5" s="180"/>
      <c r="Y5" s="180"/>
      <c r="Z5" s="180"/>
      <c r="AA5" s="180"/>
      <c r="AB5" s="180"/>
      <c r="AC5" s="180"/>
      <c r="AD5" s="180"/>
      <c r="AE5" s="180"/>
      <c r="AF5" s="180"/>
      <c r="AG5" s="180"/>
      <c r="AH5" s="180"/>
      <c r="AI5" s="180"/>
      <c r="AJ5" s="180"/>
      <c r="AK5" s="180"/>
      <c r="AL5" s="180"/>
      <c r="AM5" s="180"/>
      <c r="AN5" s="180"/>
      <c r="AO5" s="180"/>
      <c r="AP5" s="180"/>
      <c r="AQ5" s="180"/>
      <c r="AR5" s="180"/>
      <c r="AS5" s="180"/>
      <c r="AT5" s="180"/>
      <c r="AU5" s="180"/>
      <c r="AV5" s="180"/>
      <c r="AW5" s="180"/>
      <c r="AX5" s="180"/>
      <c r="AY5" s="180"/>
      <c r="AZ5" s="180"/>
      <c r="BA5" s="180"/>
      <c r="BB5" s="180"/>
      <c r="BC5" s="180"/>
      <c r="BD5" s="180"/>
      <c r="BE5" s="180"/>
      <c r="BF5" s="180"/>
      <c r="BG5" s="180"/>
      <c r="BH5" s="180"/>
      <c r="BI5" s="180"/>
      <c r="BJ5" s="180"/>
      <c r="BK5" s="180"/>
      <c r="BL5" s="180"/>
      <c r="BM5" s="180"/>
      <c r="BN5" s="180"/>
      <c r="BO5" s="180"/>
      <c r="BP5" s="180"/>
      <c r="BQ5" s="180"/>
      <c r="BR5" s="180"/>
      <c r="BS5" s="180"/>
      <c r="BT5" s="180"/>
      <c r="BU5" s="180"/>
      <c r="BV5" s="180"/>
      <c r="BW5" s="43"/>
      <c r="BX5" s="43"/>
    </row>
    <row r="6" spans="1:80" ht="15.75" customHeight="1" x14ac:dyDescent="0.3">
      <c r="A6" s="138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СГВ-15, год изготовления 2010, заводской № 15894850</v>
      </c>
      <c r="B6" s="139"/>
      <c r="C6" s="139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39"/>
      <c r="Q6" s="139"/>
      <c r="R6" s="139"/>
      <c r="S6" s="139"/>
      <c r="T6" s="139"/>
      <c r="U6" s="139"/>
      <c r="V6" s="139"/>
      <c r="W6" s="139"/>
      <c r="X6" s="139"/>
      <c r="Y6" s="139"/>
      <c r="Z6" s="139"/>
      <c r="AA6" s="139"/>
      <c r="AB6" s="139"/>
      <c r="AC6" s="139"/>
      <c r="AD6" s="139"/>
      <c r="AE6" s="139"/>
      <c r="AF6" s="139"/>
      <c r="AG6" s="139"/>
      <c r="AH6" s="139"/>
      <c r="AI6" s="139"/>
      <c r="AJ6" s="139"/>
      <c r="AK6" s="139"/>
      <c r="AL6" s="139"/>
      <c r="AM6" s="139"/>
      <c r="AN6" s="139"/>
      <c r="AO6" s="139"/>
      <c r="AP6" s="139"/>
      <c r="AQ6" s="139"/>
      <c r="AR6" s="139"/>
      <c r="AS6" s="139"/>
      <c r="AT6" s="139"/>
      <c r="AU6" s="139"/>
      <c r="AV6" s="139"/>
      <c r="AW6" s="139"/>
      <c r="AX6" s="139"/>
      <c r="AY6" s="139"/>
      <c r="AZ6" s="139"/>
      <c r="BA6" s="139"/>
      <c r="BB6" s="139"/>
      <c r="BC6" s="139"/>
      <c r="BD6" s="139"/>
      <c r="BE6" s="139"/>
      <c r="BF6" s="139"/>
      <c r="BG6" s="139"/>
      <c r="BH6" s="139"/>
      <c r="BI6" s="139"/>
      <c r="BJ6" s="139"/>
      <c r="BK6" s="139"/>
      <c r="BL6" s="139"/>
      <c r="BM6" s="139"/>
      <c r="BN6" s="139"/>
      <c r="BO6" s="139"/>
      <c r="BP6" s="139"/>
      <c r="BQ6" s="139"/>
      <c r="BR6" s="139"/>
      <c r="BS6" s="139"/>
      <c r="BT6" s="139"/>
      <c r="BU6" s="139"/>
      <c r="BV6" s="139"/>
      <c r="BW6" s="139"/>
      <c r="BX6" s="43"/>
    </row>
    <row r="7" spans="1:80" s="60" customFormat="1" ht="15.75" customHeight="1" x14ac:dyDescent="0.3">
      <c r="A7" s="139"/>
      <c r="B7" s="139"/>
      <c r="C7" s="139"/>
      <c r="D7" s="139"/>
      <c r="E7" s="139"/>
      <c r="F7" s="139"/>
      <c r="G7" s="139"/>
      <c r="H7" s="139"/>
      <c r="I7" s="139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9"/>
      <c r="BS7" s="139"/>
      <c r="BT7" s="139"/>
      <c r="BU7" s="139"/>
      <c r="BV7" s="139"/>
      <c r="BW7" s="139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г.Яранск, ул.Свободы 16-1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24" t="s">
        <v>28</v>
      </c>
      <c r="B12" s="124"/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124"/>
      <c r="V12" s="124"/>
      <c r="W12" s="124"/>
      <c r="X12" s="124"/>
      <c r="Y12" s="124"/>
      <c r="Z12" s="124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24"/>
      <c r="AO12" s="124"/>
      <c r="AP12" s="124"/>
      <c r="AQ12" s="124"/>
      <c r="AR12" s="124"/>
      <c r="AS12" s="124"/>
      <c r="AT12" s="124"/>
      <c r="AU12" s="124"/>
      <c r="AV12" s="124"/>
      <c r="AW12" s="124"/>
      <c r="AX12" s="124"/>
      <c r="AY12" s="124"/>
      <c r="AZ12" s="124"/>
      <c r="BA12" s="124"/>
      <c r="BB12" s="124"/>
      <c r="BC12" s="124"/>
      <c r="BD12" s="124"/>
      <c r="BE12" s="124"/>
      <c r="BF12" s="124"/>
      <c r="BG12" s="124"/>
      <c r="BH12" s="124"/>
      <c r="BI12" s="124"/>
      <c r="BJ12" s="124"/>
      <c r="BK12" s="124"/>
      <c r="BL12" s="124"/>
      <c r="BM12" s="124"/>
      <c r="BN12" s="124"/>
      <c r="BO12" s="124"/>
      <c r="BP12" s="124"/>
      <c r="BQ12" s="124"/>
      <c r="BR12" s="124"/>
      <c r="BS12" s="124"/>
      <c r="BT12" s="124"/>
      <c r="BU12" s="124"/>
      <c r="BV12" s="124"/>
      <c r="BW12" s="124"/>
      <c r="BX12" s="124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62" t="s">
        <v>82</v>
      </c>
      <c r="B26" s="153"/>
      <c r="C26" s="153"/>
      <c r="D26" s="153"/>
      <c r="E26" s="153"/>
      <c r="F26" s="153"/>
      <c r="G26" s="153"/>
      <c r="H26" s="153"/>
      <c r="I26" s="153"/>
      <c r="J26" s="153"/>
      <c r="K26" s="153"/>
      <c r="L26" s="153"/>
      <c r="M26" s="153"/>
      <c r="N26" s="153"/>
      <c r="O26" s="153"/>
      <c r="P26" s="153"/>
      <c r="Q26" s="153"/>
      <c r="R26" s="153"/>
      <c r="S26" s="153"/>
      <c r="T26" s="153"/>
      <c r="U26" s="153"/>
      <c r="V26" s="153"/>
      <c r="W26" s="153"/>
      <c r="X26" s="153"/>
      <c r="Y26" s="153"/>
      <c r="Z26" s="153"/>
      <c r="AA26" s="153"/>
      <c r="AB26" s="153"/>
      <c r="AC26" s="153"/>
      <c r="AD26" s="153"/>
      <c r="AE26" s="154"/>
      <c r="AF26" s="152" t="s">
        <v>78</v>
      </c>
      <c r="AG26" s="153"/>
      <c r="AH26" s="153"/>
      <c r="AI26" s="153"/>
      <c r="AJ26" s="153"/>
      <c r="AK26" s="153"/>
      <c r="AL26" s="153"/>
      <c r="AM26" s="153"/>
      <c r="AN26" s="153"/>
      <c r="AO26" s="154"/>
      <c r="AP26" s="152" t="s">
        <v>79</v>
      </c>
      <c r="AQ26" s="153"/>
      <c r="AR26" s="153"/>
      <c r="AS26" s="153"/>
      <c r="AT26" s="153"/>
      <c r="AU26" s="153"/>
      <c r="AV26" s="154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55"/>
      <c r="B27" s="156"/>
      <c r="C27" s="156"/>
      <c r="D27" s="156"/>
      <c r="E27" s="156"/>
      <c r="F27" s="156"/>
      <c r="G27" s="156"/>
      <c r="H27" s="156"/>
      <c r="I27" s="156"/>
      <c r="J27" s="156"/>
      <c r="K27" s="156"/>
      <c r="L27" s="156"/>
      <c r="M27" s="156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  <c r="AC27" s="156"/>
      <c r="AD27" s="156"/>
      <c r="AE27" s="157"/>
      <c r="AF27" s="155"/>
      <c r="AG27" s="156"/>
      <c r="AH27" s="156"/>
      <c r="AI27" s="156"/>
      <c r="AJ27" s="156"/>
      <c r="AK27" s="156"/>
      <c r="AL27" s="156"/>
      <c r="AM27" s="156"/>
      <c r="AN27" s="156"/>
      <c r="AO27" s="157"/>
      <c r="AP27" s="155"/>
      <c r="AQ27" s="156"/>
      <c r="AR27" s="156"/>
      <c r="AS27" s="156"/>
      <c r="AT27" s="156"/>
      <c r="AU27" s="156"/>
      <c r="AV27" s="157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9" t="s">
        <v>75</v>
      </c>
      <c r="B28" s="160"/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60"/>
      <c r="N28" s="160"/>
      <c r="O28" s="160"/>
      <c r="P28" s="160"/>
      <c r="Q28" s="160"/>
      <c r="R28" s="160"/>
      <c r="S28" s="160"/>
      <c r="T28" s="160"/>
      <c r="U28" s="160"/>
      <c r="V28" s="160"/>
      <c r="W28" s="160"/>
      <c r="X28" s="160"/>
      <c r="Y28" s="160"/>
      <c r="Z28" s="160"/>
      <c r="AA28" s="160"/>
      <c r="AB28" s="160"/>
      <c r="AC28" s="160"/>
      <c r="AD28" s="160"/>
      <c r="AE28" s="161"/>
      <c r="AF28" s="117">
        <f>Данные!B11</f>
        <v>25.3</v>
      </c>
      <c r="AG28" s="115"/>
      <c r="AH28" s="115"/>
      <c r="AI28" s="115"/>
      <c r="AJ28" s="115"/>
      <c r="AK28" s="115"/>
      <c r="AL28" s="115"/>
      <c r="AM28" s="115"/>
      <c r="AN28" s="115"/>
      <c r="AO28" s="116"/>
      <c r="AP28" s="117">
        <f ca="1">AF28+(RANDBETWEEN(-26,53)/10)</f>
        <v>24.2</v>
      </c>
      <c r="AQ28" s="115"/>
      <c r="AR28" s="115"/>
      <c r="AS28" s="115"/>
      <c r="AT28" s="115"/>
      <c r="AU28" s="115"/>
      <c r="AV28" s="116"/>
      <c r="AW28" s="63"/>
      <c r="AX28" s="99" t="s">
        <v>94</v>
      </c>
      <c r="AY28" s="99"/>
      <c r="AZ28" s="99"/>
      <c r="BA28" s="99"/>
      <c r="BB28" s="99"/>
      <c r="BC28" s="99"/>
      <c r="BD28" s="99"/>
      <c r="BE28" s="99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8" t="s">
        <v>76</v>
      </c>
      <c r="B29" s="115"/>
      <c r="C29" s="115"/>
      <c r="D29" s="115"/>
      <c r="E29" s="115"/>
      <c r="F29" s="115"/>
      <c r="G29" s="115"/>
      <c r="H29" s="115"/>
      <c r="I29" s="115"/>
      <c r="J29" s="115"/>
      <c r="K29" s="115"/>
      <c r="L29" s="115"/>
      <c r="M29" s="115"/>
      <c r="N29" s="115"/>
      <c r="O29" s="115"/>
      <c r="P29" s="115"/>
      <c r="Q29" s="115"/>
      <c r="R29" s="115"/>
      <c r="S29" s="115"/>
      <c r="T29" s="115"/>
      <c r="U29" s="115"/>
      <c r="V29" s="115"/>
      <c r="W29" s="115"/>
      <c r="X29" s="115"/>
      <c r="Y29" s="115"/>
      <c r="Z29" s="115"/>
      <c r="AA29" s="115"/>
      <c r="AB29" s="115"/>
      <c r="AC29" s="115"/>
      <c r="AD29" s="115"/>
      <c r="AE29" s="116"/>
      <c r="AF29" s="114">
        <f>Данные!B12</f>
        <v>58.3</v>
      </c>
      <c r="AG29" s="115"/>
      <c r="AH29" s="115"/>
      <c r="AI29" s="115"/>
      <c r="AJ29" s="115"/>
      <c r="AK29" s="115"/>
      <c r="AL29" s="115"/>
      <c r="AM29" s="115"/>
      <c r="AN29" s="115"/>
      <c r="AO29" s="116"/>
      <c r="AP29" s="114">
        <f ca="1">AF29+(RANDBETWEEN(43,97)/10)</f>
        <v>64.099999999999994</v>
      </c>
      <c r="AQ29" s="115"/>
      <c r="AR29" s="115"/>
      <c r="AS29" s="115"/>
      <c r="AT29" s="115"/>
      <c r="AU29" s="115"/>
      <c r="AV29" s="116"/>
      <c r="AW29" s="63"/>
      <c r="AX29" s="99" t="s">
        <v>95</v>
      </c>
      <c r="AY29" s="99"/>
      <c r="AZ29" s="99"/>
      <c r="BA29" s="99"/>
      <c r="BB29" s="99"/>
      <c r="BC29" s="99"/>
      <c r="BD29" s="99"/>
      <c r="BE29" s="99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8" t="s">
        <v>77</v>
      </c>
      <c r="B30" s="115"/>
      <c r="C30" s="115"/>
      <c r="D30" s="115"/>
      <c r="E30" s="115"/>
      <c r="F30" s="115"/>
      <c r="G30" s="115"/>
      <c r="H30" s="115"/>
      <c r="I30" s="115"/>
      <c r="J30" s="115"/>
      <c r="K30" s="115"/>
      <c r="L30" s="115"/>
      <c r="M30" s="115"/>
      <c r="N30" s="115"/>
      <c r="O30" s="115"/>
      <c r="P30" s="115"/>
      <c r="Q30" s="115"/>
      <c r="R30" s="115"/>
      <c r="S30" s="115"/>
      <c r="T30" s="115"/>
      <c r="U30" s="115"/>
      <c r="V30" s="115"/>
      <c r="W30" s="115"/>
      <c r="X30" s="115"/>
      <c r="Y30" s="115"/>
      <c r="Z30" s="115"/>
      <c r="AA30" s="115"/>
      <c r="AB30" s="115"/>
      <c r="AC30" s="115"/>
      <c r="AD30" s="115"/>
      <c r="AE30" s="116"/>
      <c r="AF30" s="114">
        <f>Данные!B13</f>
        <v>104.8</v>
      </c>
      <c r="AG30" s="115"/>
      <c r="AH30" s="115"/>
      <c r="AI30" s="115"/>
      <c r="AJ30" s="115"/>
      <c r="AK30" s="115"/>
      <c r="AL30" s="115"/>
      <c r="AM30" s="115"/>
      <c r="AN30" s="115"/>
      <c r="AO30" s="116"/>
      <c r="AP30" s="118">
        <f>AF30</f>
        <v>104.8</v>
      </c>
      <c r="AQ30" s="119"/>
      <c r="AR30" s="119"/>
      <c r="AS30" s="119"/>
      <c r="AT30" s="119"/>
      <c r="AU30" s="119"/>
      <c r="AV30" s="120"/>
      <c r="AW30" s="63"/>
      <c r="AX30" s="99" t="s">
        <v>96</v>
      </c>
      <c r="AY30" s="99"/>
      <c r="AZ30" s="99"/>
      <c r="BA30" s="99"/>
      <c r="BB30" s="99"/>
      <c r="BC30" s="99"/>
      <c r="BD30" s="99"/>
      <c r="BE30" s="99"/>
      <c r="BF30" s="99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8" t="s">
        <v>83</v>
      </c>
      <c r="B31" s="115"/>
      <c r="C31" s="115"/>
      <c r="D31" s="115"/>
      <c r="E31" s="115"/>
      <c r="F31" s="115"/>
      <c r="G31" s="115"/>
      <c r="H31" s="115"/>
      <c r="I31" s="115"/>
      <c r="J31" s="115"/>
      <c r="K31" s="115"/>
      <c r="L31" s="115"/>
      <c r="M31" s="115"/>
      <c r="N31" s="115"/>
      <c r="O31" s="115"/>
      <c r="P31" s="115"/>
      <c r="Q31" s="115"/>
      <c r="R31" s="115"/>
      <c r="S31" s="115"/>
      <c r="T31" s="115"/>
      <c r="U31" s="115"/>
      <c r="V31" s="115"/>
      <c r="W31" s="115"/>
      <c r="X31" s="115"/>
      <c r="Y31" s="115"/>
      <c r="Z31" s="115"/>
      <c r="AA31" s="115"/>
      <c r="AB31" s="115"/>
      <c r="AC31" s="115"/>
      <c r="AD31" s="115"/>
      <c r="AE31" s="116"/>
      <c r="AF31" s="114">
        <f>Данные!B14</f>
        <v>6</v>
      </c>
      <c r="AG31" s="115"/>
      <c r="AH31" s="115"/>
      <c r="AI31" s="115"/>
      <c r="AJ31" s="115"/>
      <c r="AK31" s="115"/>
      <c r="AL31" s="115"/>
      <c r="AM31" s="115"/>
      <c r="AN31" s="115"/>
      <c r="AO31" s="116"/>
      <c r="AP31" s="114">
        <f>Данные!B15</f>
        <v>6</v>
      </c>
      <c r="AQ31" s="115"/>
      <c r="AR31" s="115"/>
      <c r="AS31" s="115"/>
      <c r="AT31" s="115"/>
      <c r="AU31" s="115"/>
      <c r="AV31" s="116"/>
      <c r="AW31" s="63"/>
      <c r="AX31" s="100" t="s">
        <v>81</v>
      </c>
      <c r="AY31" s="100"/>
      <c r="AZ31" s="100"/>
      <c r="BA31" s="100"/>
      <c r="BB31" s="100"/>
      <c r="BC31" s="100"/>
      <c r="BD31" s="100"/>
      <c r="BE31" s="100"/>
      <c r="BF31" s="100"/>
      <c r="BG31" s="100"/>
      <c r="BH31" s="100"/>
      <c r="BI31" s="100"/>
      <c r="BJ31" s="100"/>
      <c r="BK31" s="100"/>
      <c r="BL31" s="100"/>
      <c r="BM31" s="100"/>
      <c r="BN31" s="100"/>
      <c r="BO31" s="100"/>
      <c r="BP31" s="100"/>
      <c r="BQ31" s="100"/>
      <c r="BR31" s="100"/>
      <c r="BS31" s="100"/>
      <c r="BT31" s="100"/>
      <c r="BU31" s="100"/>
      <c r="BV31" s="100"/>
      <c r="BW31" s="100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24" t="s">
        <v>31</v>
      </c>
      <c r="M33" s="124"/>
      <c r="N33" s="124"/>
      <c r="O33" s="124"/>
      <c r="P33" s="124"/>
      <c r="Q33" s="124"/>
      <c r="R33" s="124"/>
      <c r="S33" s="124"/>
      <c r="T33" s="124"/>
      <c r="U33" s="124"/>
      <c r="V33" s="124"/>
      <c r="W33" s="124"/>
      <c r="X33" s="124"/>
      <c r="Y33" s="124"/>
      <c r="Z33" s="124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24"/>
      <c r="AO33" s="124"/>
      <c r="AP33" s="124"/>
      <c r="AQ33" s="124"/>
      <c r="AR33" s="124"/>
      <c r="AS33" s="124"/>
      <c r="AT33" s="124"/>
      <c r="AU33" s="124"/>
      <c r="AV33" s="124"/>
      <c r="AW33" s="124"/>
      <c r="AX33" s="124"/>
      <c r="AY33" s="124"/>
      <c r="AZ33" s="124"/>
      <c r="BA33" s="124"/>
      <c r="BB33" s="124"/>
      <c r="BC33" s="124"/>
      <c r="BD33" s="124"/>
      <c r="BE33" s="124"/>
      <c r="BF33" s="124"/>
      <c r="BG33" s="124"/>
      <c r="BH33" s="124"/>
      <c r="BI33" s="124"/>
      <c r="BJ33" s="124"/>
      <c r="BK33" s="124"/>
      <c r="BL33" s="124"/>
      <c r="BM33" s="124"/>
      <c r="BN33" s="124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24" t="s">
        <v>32</v>
      </c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124"/>
      <c r="V37" s="124"/>
      <c r="W37" s="124"/>
      <c r="X37" s="124"/>
      <c r="Y37" s="124"/>
      <c r="Z37" s="124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24"/>
      <c r="AO37" s="124"/>
      <c r="AP37" s="124"/>
      <c r="AQ37" s="124"/>
      <c r="AR37" s="124"/>
      <c r="AS37" s="124"/>
      <c r="AT37" s="124"/>
      <c r="AU37" s="124"/>
      <c r="AV37" s="124"/>
      <c r="AW37" s="124"/>
      <c r="AX37" s="124"/>
      <c r="AY37" s="124"/>
      <c r="AZ37" s="124"/>
      <c r="BA37" s="124"/>
      <c r="BB37" s="124"/>
      <c r="BC37" s="124"/>
      <c r="BD37" s="124"/>
      <c r="BE37" s="124"/>
      <c r="BF37" s="124"/>
      <c r="BG37" s="124"/>
      <c r="BH37" s="124"/>
      <c r="BI37" s="124"/>
      <c r="BJ37" s="124"/>
      <c r="BK37" s="124"/>
      <c r="BL37" s="124"/>
      <c r="BM37" s="124"/>
      <c r="BN37" s="124"/>
      <c r="BO37" s="124"/>
      <c r="BP37" s="124"/>
      <c r="BQ37" s="124"/>
      <c r="BR37" s="124"/>
      <c r="BS37" s="124"/>
      <c r="BT37" s="124"/>
      <c r="BU37" s="124"/>
      <c r="BV37" s="5"/>
      <c r="BW37" s="43"/>
      <c r="BX37" s="43"/>
    </row>
    <row r="38" spans="1:76" ht="4.5" customHeight="1" x14ac:dyDescent="0.3">
      <c r="A38" s="166" t="str">
        <f>INDEX(Данные!$K$54:$W$99,Данные!K52,2)</f>
        <v>«Рекомендация. ГСИ. Счетчики воды. Методика поверки» МИ 1592-2015</v>
      </c>
      <c r="B38" s="167"/>
      <c r="C38" s="167"/>
      <c r="D38" s="167"/>
      <c r="E38" s="167"/>
      <c r="F38" s="167"/>
      <c r="G38" s="167"/>
      <c r="H38" s="167"/>
      <c r="I38" s="167"/>
      <c r="J38" s="167"/>
      <c r="K38" s="167"/>
      <c r="L38" s="167"/>
      <c r="M38" s="167"/>
      <c r="N38" s="167"/>
      <c r="O38" s="167"/>
      <c r="P38" s="167"/>
      <c r="Q38" s="167"/>
      <c r="R38" s="167"/>
      <c r="S38" s="167"/>
      <c r="T38" s="167"/>
      <c r="U38" s="167"/>
      <c r="V38" s="167"/>
      <c r="W38" s="167"/>
      <c r="X38" s="167"/>
      <c r="Y38" s="167"/>
      <c r="Z38" s="167"/>
      <c r="AA38" s="167"/>
      <c r="AB38" s="167"/>
      <c r="AC38" s="167"/>
      <c r="AD38" s="167"/>
      <c r="AE38" s="167"/>
      <c r="AF38" s="167"/>
      <c r="AG38" s="167"/>
      <c r="AH38" s="167"/>
      <c r="AI38" s="167"/>
      <c r="AJ38" s="167"/>
      <c r="AK38" s="167"/>
      <c r="AL38" s="167"/>
      <c r="AM38" s="167"/>
      <c r="AN38" s="167"/>
      <c r="AO38" s="167"/>
      <c r="AP38" s="167"/>
      <c r="AQ38" s="167"/>
      <c r="AR38" s="167"/>
      <c r="AS38" s="167"/>
      <c r="AT38" s="167"/>
      <c r="AU38" s="167"/>
      <c r="AV38" s="167"/>
      <c r="AW38" s="167"/>
      <c r="AX38" s="167"/>
      <c r="AY38" s="167"/>
      <c r="AZ38" s="167"/>
      <c r="BA38" s="167"/>
      <c r="BB38" s="167"/>
      <c r="BC38" s="167"/>
      <c r="BD38" s="167"/>
      <c r="BE38" s="167"/>
      <c r="BF38" s="167"/>
      <c r="BG38" s="167"/>
      <c r="BH38" s="167"/>
      <c r="BI38" s="167"/>
      <c r="BJ38" s="167"/>
      <c r="BK38" s="167"/>
      <c r="BL38" s="167"/>
      <c r="BM38" s="167"/>
      <c r="BN38" s="167"/>
      <c r="BO38" s="167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67"/>
      <c r="B39" s="167"/>
      <c r="C39" s="167"/>
      <c r="D39" s="167"/>
      <c r="E39" s="167"/>
      <c r="F39" s="167"/>
      <c r="G39" s="167"/>
      <c r="H39" s="167"/>
      <c r="I39" s="167"/>
      <c r="J39" s="167"/>
      <c r="K39" s="167"/>
      <c r="L39" s="167"/>
      <c r="M39" s="167"/>
      <c r="N39" s="167"/>
      <c r="O39" s="167"/>
      <c r="P39" s="167"/>
      <c r="Q39" s="167"/>
      <c r="R39" s="167"/>
      <c r="S39" s="167"/>
      <c r="T39" s="167"/>
      <c r="U39" s="167"/>
      <c r="V39" s="167"/>
      <c r="W39" s="167"/>
      <c r="X39" s="167"/>
      <c r="Y39" s="167"/>
      <c r="Z39" s="167"/>
      <c r="AA39" s="167"/>
      <c r="AB39" s="167"/>
      <c r="AC39" s="167"/>
      <c r="AD39" s="167"/>
      <c r="AE39" s="167"/>
      <c r="AF39" s="167"/>
      <c r="AG39" s="167"/>
      <c r="AH39" s="167"/>
      <c r="AI39" s="167"/>
      <c r="AJ39" s="167"/>
      <c r="AK39" s="167"/>
      <c r="AL39" s="167"/>
      <c r="AM39" s="167"/>
      <c r="AN39" s="167"/>
      <c r="AO39" s="167"/>
      <c r="AP39" s="167"/>
      <c r="AQ39" s="167"/>
      <c r="AR39" s="167"/>
      <c r="AS39" s="167"/>
      <c r="AT39" s="167"/>
      <c r="AU39" s="167"/>
      <c r="AV39" s="167"/>
      <c r="AW39" s="167"/>
      <c r="AX39" s="167"/>
      <c r="AY39" s="167"/>
      <c r="AZ39" s="167"/>
      <c r="BA39" s="167"/>
      <c r="BB39" s="167"/>
      <c r="BC39" s="167"/>
      <c r="BD39" s="167"/>
      <c r="BE39" s="167"/>
      <c r="BF39" s="167"/>
      <c r="BG39" s="167"/>
      <c r="BH39" s="167"/>
      <c r="BI39" s="167"/>
      <c r="BJ39" s="167"/>
      <c r="BK39" s="167"/>
      <c r="BL39" s="167"/>
      <c r="BM39" s="167"/>
      <c r="BN39" s="167"/>
      <c r="BO39" s="167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24" t="s">
        <v>33</v>
      </c>
      <c r="B41" s="124"/>
      <c r="C41" s="124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124"/>
      <c r="V41" s="124"/>
      <c r="W41" s="124"/>
      <c r="X41" s="124"/>
      <c r="Y41" s="124"/>
      <c r="Z41" s="124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24"/>
      <c r="BM41" s="124"/>
      <c r="BN41" s="124"/>
      <c r="BO41" s="124"/>
      <c r="BP41" s="124"/>
      <c r="BQ41" s="124"/>
      <c r="BR41" s="124"/>
      <c r="BS41" s="124"/>
      <c r="BT41" s="124"/>
      <c r="BU41" s="124"/>
      <c r="BV41" s="124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1" t="s">
        <v>7</v>
      </c>
      <c r="C48" s="142"/>
      <c r="D48" s="142"/>
      <c r="E48" s="142"/>
      <c r="F48" s="142"/>
      <c r="G48" s="142"/>
      <c r="H48" s="142"/>
      <c r="I48" s="142"/>
      <c r="J48" s="142"/>
      <c r="K48" s="142"/>
      <c r="L48" s="142"/>
      <c r="M48" s="142"/>
      <c r="N48" s="142"/>
      <c r="O48" s="142"/>
      <c r="P48" s="142"/>
      <c r="Q48" s="142"/>
      <c r="R48" s="142"/>
      <c r="S48" s="142"/>
      <c r="T48" s="142"/>
      <c r="U48" s="143"/>
      <c r="V48" s="141" t="s">
        <v>3</v>
      </c>
      <c r="W48" s="142"/>
      <c r="X48" s="142"/>
      <c r="Y48" s="142"/>
      <c r="Z48" s="142"/>
      <c r="AA48" s="142"/>
      <c r="AB48" s="142"/>
      <c r="AC48" s="142"/>
      <c r="AD48" s="142"/>
      <c r="AE48" s="142"/>
      <c r="AF48" s="142"/>
      <c r="AG48" s="142"/>
      <c r="AH48" s="142"/>
      <c r="AI48" s="142"/>
      <c r="AJ48" s="142"/>
      <c r="AK48" s="142"/>
      <c r="AL48" s="142"/>
      <c r="AM48" s="142"/>
      <c r="AN48" s="142"/>
      <c r="AO48" s="142"/>
      <c r="AP48" s="142"/>
      <c r="AQ48" s="142"/>
      <c r="AR48" s="142"/>
      <c r="AS48" s="142"/>
      <c r="AT48" s="142"/>
      <c r="AU48" s="142"/>
      <c r="AV48" s="142"/>
      <c r="AW48" s="142"/>
      <c r="AX48" s="142"/>
      <c r="AY48" s="142"/>
      <c r="AZ48" s="142"/>
      <c r="BA48" s="142"/>
      <c r="BB48" s="142"/>
      <c r="BC48" s="142"/>
      <c r="BD48" s="142"/>
      <c r="BE48" s="142"/>
      <c r="BF48" s="142"/>
      <c r="BG48" s="142"/>
      <c r="BH48" s="142"/>
      <c r="BI48" s="142"/>
      <c r="BJ48" s="142"/>
      <c r="BK48" s="142"/>
      <c r="BL48" s="142"/>
      <c r="BM48" s="142"/>
      <c r="BN48" s="142"/>
      <c r="BO48" s="142"/>
      <c r="BP48" s="142"/>
      <c r="BQ48" s="142"/>
      <c r="BR48" s="142"/>
      <c r="BS48" s="142"/>
      <c r="BT48" s="142"/>
      <c r="BU48" s="143"/>
      <c r="BV48" s="43"/>
      <c r="BW48" s="43"/>
      <c r="BX48" s="43"/>
    </row>
    <row r="49" spans="1:76" ht="13.5" customHeight="1" x14ac:dyDescent="0.3">
      <c r="A49" s="43"/>
      <c r="B49" s="177"/>
      <c r="C49" s="178"/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O49" s="178"/>
      <c r="P49" s="178"/>
      <c r="Q49" s="178"/>
      <c r="R49" s="178"/>
      <c r="S49" s="178"/>
      <c r="T49" s="178"/>
      <c r="U49" s="179"/>
      <c r="V49" s="144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  <c r="AG49" s="145"/>
      <c r="AH49" s="145"/>
      <c r="AI49" s="145"/>
      <c r="AJ49" s="145"/>
      <c r="AK49" s="145"/>
      <c r="AL49" s="145"/>
      <c r="AM49" s="145"/>
      <c r="AN49" s="145"/>
      <c r="AO49" s="145"/>
      <c r="AP49" s="145"/>
      <c r="AQ49" s="145"/>
      <c r="AR49" s="145"/>
      <c r="AS49" s="145"/>
      <c r="AT49" s="145"/>
      <c r="AU49" s="145"/>
      <c r="AV49" s="145"/>
      <c r="AW49" s="145"/>
      <c r="AX49" s="145"/>
      <c r="AY49" s="145"/>
      <c r="AZ49" s="145"/>
      <c r="BA49" s="145"/>
      <c r="BB49" s="145"/>
      <c r="BC49" s="145"/>
      <c r="BD49" s="145"/>
      <c r="BE49" s="145"/>
      <c r="BF49" s="145"/>
      <c r="BG49" s="145"/>
      <c r="BH49" s="145"/>
      <c r="BI49" s="145"/>
      <c r="BJ49" s="145"/>
      <c r="BK49" s="145"/>
      <c r="BL49" s="145"/>
      <c r="BM49" s="145"/>
      <c r="BN49" s="145"/>
      <c r="BO49" s="145"/>
      <c r="BP49" s="145"/>
      <c r="BQ49" s="145"/>
      <c r="BR49" s="145"/>
      <c r="BS49" s="145"/>
      <c r="BT49" s="145"/>
      <c r="BU49" s="146"/>
      <c r="BV49" s="43"/>
      <c r="BW49" s="43"/>
      <c r="BX49" s="43"/>
    </row>
    <row r="50" spans="1:76" ht="13.5" customHeight="1" x14ac:dyDescent="0.3">
      <c r="A50" s="43"/>
      <c r="B50" s="177"/>
      <c r="C50" s="178"/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O50" s="178"/>
      <c r="P50" s="178"/>
      <c r="Q50" s="178"/>
      <c r="R50" s="178"/>
      <c r="S50" s="178"/>
      <c r="T50" s="178"/>
      <c r="U50" s="179"/>
      <c r="V50" s="105" t="s">
        <v>4</v>
      </c>
      <c r="W50" s="106"/>
      <c r="X50" s="106"/>
      <c r="Y50" s="106"/>
      <c r="Z50" s="106"/>
      <c r="AA50" s="106"/>
      <c r="AB50" s="107"/>
      <c r="AC50" s="104" t="s">
        <v>88</v>
      </c>
      <c r="AD50" s="104"/>
      <c r="AE50" s="104"/>
      <c r="AF50" s="104"/>
      <c r="AG50" s="104"/>
      <c r="AH50" s="104"/>
      <c r="AI50" s="104"/>
      <c r="AJ50" s="163" t="s">
        <v>72</v>
      </c>
      <c r="AK50" s="164"/>
      <c r="AL50" s="164"/>
      <c r="AM50" s="164"/>
      <c r="AN50" s="164"/>
      <c r="AO50" s="164"/>
      <c r="AP50" s="164"/>
      <c r="AQ50" s="164"/>
      <c r="AR50" s="164"/>
      <c r="AS50" s="164"/>
      <c r="AT50" s="164"/>
      <c r="AU50" s="164"/>
      <c r="AV50" s="165"/>
      <c r="AW50" s="105" t="s">
        <v>212</v>
      </c>
      <c r="AX50" s="106"/>
      <c r="AY50" s="106"/>
      <c r="AZ50" s="106"/>
      <c r="BA50" s="106"/>
      <c r="BB50" s="106"/>
      <c r="BC50" s="107"/>
      <c r="BD50" s="104" t="s">
        <v>89</v>
      </c>
      <c r="BE50" s="104"/>
      <c r="BF50" s="104"/>
      <c r="BG50" s="104"/>
      <c r="BH50" s="104"/>
      <c r="BI50" s="104"/>
      <c r="BJ50" s="104"/>
      <c r="BK50" s="104" t="s">
        <v>5</v>
      </c>
      <c r="BL50" s="104"/>
      <c r="BM50" s="104"/>
      <c r="BN50" s="104"/>
      <c r="BO50" s="104"/>
      <c r="BP50" s="104"/>
      <c r="BQ50" s="168" t="s">
        <v>6</v>
      </c>
      <c r="BR50" s="169"/>
      <c r="BS50" s="169"/>
      <c r="BT50" s="169"/>
      <c r="BU50" s="170"/>
      <c r="BV50" s="43"/>
      <c r="BW50" s="43"/>
      <c r="BX50" s="43"/>
    </row>
    <row r="51" spans="1:76" s="60" customFormat="1" ht="10.5" customHeight="1" x14ac:dyDescent="0.3">
      <c r="A51" s="43"/>
      <c r="B51" s="177"/>
      <c r="C51" s="178"/>
      <c r="D51" s="178"/>
      <c r="E51" s="178"/>
      <c r="F51" s="178"/>
      <c r="G51" s="178"/>
      <c r="H51" s="178"/>
      <c r="I51" s="178"/>
      <c r="J51" s="178"/>
      <c r="K51" s="178"/>
      <c r="L51" s="178"/>
      <c r="M51" s="178"/>
      <c r="N51" s="178"/>
      <c r="O51" s="178"/>
      <c r="P51" s="178"/>
      <c r="Q51" s="178"/>
      <c r="R51" s="178"/>
      <c r="S51" s="178"/>
      <c r="T51" s="178"/>
      <c r="U51" s="179"/>
      <c r="V51" s="108"/>
      <c r="W51" s="109"/>
      <c r="X51" s="109"/>
      <c r="Y51" s="109"/>
      <c r="Z51" s="109"/>
      <c r="AA51" s="109"/>
      <c r="AB51" s="110"/>
      <c r="AC51" s="104"/>
      <c r="AD51" s="104"/>
      <c r="AE51" s="104"/>
      <c r="AF51" s="104"/>
      <c r="AG51" s="104"/>
      <c r="AH51" s="104"/>
      <c r="AI51" s="104"/>
      <c r="AJ51" s="105" t="s">
        <v>85</v>
      </c>
      <c r="AK51" s="106"/>
      <c r="AL51" s="106"/>
      <c r="AM51" s="106"/>
      <c r="AN51" s="106"/>
      <c r="AO51" s="106"/>
      <c r="AP51" s="107"/>
      <c r="AQ51" s="105" t="s">
        <v>86</v>
      </c>
      <c r="AR51" s="106"/>
      <c r="AS51" s="106"/>
      <c r="AT51" s="106"/>
      <c r="AU51" s="106"/>
      <c r="AV51" s="107"/>
      <c r="AW51" s="108"/>
      <c r="AX51" s="109"/>
      <c r="AY51" s="109"/>
      <c r="AZ51" s="109"/>
      <c r="BA51" s="109"/>
      <c r="BB51" s="109"/>
      <c r="BC51" s="110"/>
      <c r="BD51" s="104"/>
      <c r="BE51" s="104"/>
      <c r="BF51" s="104"/>
      <c r="BG51" s="104"/>
      <c r="BH51" s="104"/>
      <c r="BI51" s="104"/>
      <c r="BJ51" s="104"/>
      <c r="BK51" s="104"/>
      <c r="BL51" s="104"/>
      <c r="BM51" s="104"/>
      <c r="BN51" s="104"/>
      <c r="BO51" s="104"/>
      <c r="BP51" s="104"/>
      <c r="BQ51" s="171"/>
      <c r="BR51" s="172"/>
      <c r="BS51" s="172"/>
      <c r="BT51" s="172"/>
      <c r="BU51" s="173"/>
      <c r="BV51" s="43"/>
      <c r="BW51" s="43"/>
      <c r="BX51" s="43"/>
    </row>
    <row r="52" spans="1:76" s="65" customFormat="1" ht="22.2" customHeight="1" x14ac:dyDescent="0.3">
      <c r="A52" s="93"/>
      <c r="B52" s="144"/>
      <c r="C52" s="145"/>
      <c r="D52" s="145"/>
      <c r="E52" s="145"/>
      <c r="F52" s="145"/>
      <c r="G52" s="145"/>
      <c r="H52" s="145"/>
      <c r="I52" s="145"/>
      <c r="J52" s="145"/>
      <c r="K52" s="145"/>
      <c r="L52" s="145"/>
      <c r="M52" s="145"/>
      <c r="N52" s="145"/>
      <c r="O52" s="145"/>
      <c r="P52" s="145"/>
      <c r="Q52" s="145"/>
      <c r="R52" s="145"/>
      <c r="S52" s="145"/>
      <c r="T52" s="145"/>
      <c r="U52" s="146"/>
      <c r="V52" s="111"/>
      <c r="W52" s="112"/>
      <c r="X52" s="112"/>
      <c r="Y52" s="112"/>
      <c r="Z52" s="112"/>
      <c r="AA52" s="112"/>
      <c r="AB52" s="113"/>
      <c r="AC52" s="104"/>
      <c r="AD52" s="104"/>
      <c r="AE52" s="104"/>
      <c r="AF52" s="104"/>
      <c r="AG52" s="104"/>
      <c r="AH52" s="104"/>
      <c r="AI52" s="104"/>
      <c r="AJ52" s="111"/>
      <c r="AK52" s="112"/>
      <c r="AL52" s="112"/>
      <c r="AM52" s="112"/>
      <c r="AN52" s="112"/>
      <c r="AO52" s="112"/>
      <c r="AP52" s="113"/>
      <c r="AQ52" s="111"/>
      <c r="AR52" s="112"/>
      <c r="AS52" s="112"/>
      <c r="AT52" s="112"/>
      <c r="AU52" s="112"/>
      <c r="AV52" s="113"/>
      <c r="AW52" s="111"/>
      <c r="AX52" s="112"/>
      <c r="AY52" s="112"/>
      <c r="AZ52" s="112"/>
      <c r="BA52" s="112"/>
      <c r="BB52" s="112"/>
      <c r="BC52" s="113"/>
      <c r="BD52" s="104"/>
      <c r="BE52" s="104"/>
      <c r="BF52" s="104"/>
      <c r="BG52" s="104"/>
      <c r="BH52" s="104"/>
      <c r="BI52" s="104"/>
      <c r="BJ52" s="104"/>
      <c r="BK52" s="104"/>
      <c r="BL52" s="104"/>
      <c r="BM52" s="104"/>
      <c r="BN52" s="104"/>
      <c r="BO52" s="104"/>
      <c r="BP52" s="104"/>
      <c r="BQ52" s="174"/>
      <c r="BR52" s="175"/>
      <c r="BS52" s="175"/>
      <c r="BT52" s="175"/>
      <c r="BU52" s="176"/>
      <c r="BV52" s="93"/>
      <c r="BW52" s="93"/>
      <c r="BX52" s="93"/>
    </row>
    <row r="53" spans="1:76" ht="59.25" customHeight="1" x14ac:dyDescent="0.3">
      <c r="A53" s="43"/>
      <c r="B53" s="105" t="s">
        <v>73</v>
      </c>
      <c r="C53" s="106"/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82"/>
      <c r="P53" s="82"/>
      <c r="Q53" s="82"/>
      <c r="R53" s="82"/>
      <c r="S53" s="82"/>
      <c r="T53" s="82"/>
      <c r="U53" s="83"/>
      <c r="V53" s="189" t="s">
        <v>90</v>
      </c>
      <c r="W53" s="190"/>
      <c r="X53" s="190"/>
      <c r="Y53" s="190"/>
      <c r="Z53" s="190"/>
      <c r="AA53" s="190"/>
      <c r="AB53" s="191"/>
      <c r="AC53" s="128">
        <f ca="1">IF($V$53="В",ROUND(RANDBETWEEN(30,33)/1000,3),IF($V$53="А",ROUND(RANDBETWEEN(60,66)/1000,3),"буква"))</f>
        <v>3.1E-2</v>
      </c>
      <c r="AD53" s="129"/>
      <c r="AE53" s="129"/>
      <c r="AF53" s="129"/>
      <c r="AG53" s="129"/>
      <c r="AH53" s="129"/>
      <c r="AI53" s="130"/>
      <c r="AJ53" s="199" t="str">
        <f>Данные!B6</f>
        <v>235,276</v>
      </c>
      <c r="AK53" s="199"/>
      <c r="AL53" s="199"/>
      <c r="AM53" s="199"/>
      <c r="AN53" s="199"/>
      <c r="AO53" s="199"/>
      <c r="AP53" s="90"/>
      <c r="AQ53" s="198">
        <f ca="1">AJ53+AW53</f>
        <v>235.28300000000002</v>
      </c>
      <c r="AR53" s="198"/>
      <c r="AS53" s="198"/>
      <c r="AT53" s="198"/>
      <c r="AU53" s="198"/>
      <c r="AV53" s="198"/>
      <c r="AW53" s="128">
        <f ca="1">ROUNDUP(AC53*720/3600,3)</f>
        <v>7.0000000000000001E-3</v>
      </c>
      <c r="AX53" s="129"/>
      <c r="AY53" s="129"/>
      <c r="AZ53" s="129"/>
      <c r="BA53" s="129"/>
      <c r="BB53" s="129"/>
      <c r="BC53" s="130"/>
      <c r="BD53" s="125">
        <f ca="1">AW53+RANDBETWEEN(-2,3)/10000</f>
        <v>7.1000000000000004E-3</v>
      </c>
      <c r="BE53" s="126"/>
      <c r="BF53" s="126"/>
      <c r="BG53" s="126"/>
      <c r="BH53" s="126"/>
      <c r="BI53" s="126"/>
      <c r="BJ53" s="127"/>
      <c r="BK53" s="101">
        <f ca="1">ROUND(((AW53-BD53)/BD53)*100,1)</f>
        <v>-1.4</v>
      </c>
      <c r="BL53" s="102"/>
      <c r="BM53" s="102"/>
      <c r="BN53" s="102"/>
      <c r="BO53" s="102"/>
      <c r="BP53" s="103"/>
      <c r="BQ53" s="185" t="s">
        <v>69</v>
      </c>
      <c r="BR53" s="186"/>
      <c r="BS53" s="88"/>
      <c r="BT53" s="136">
        <v>5</v>
      </c>
      <c r="BU53" s="137"/>
      <c r="BV53" s="43"/>
      <c r="BW53" s="43"/>
      <c r="BX53" s="43"/>
    </row>
    <row r="54" spans="1:76" s="60" customFormat="1" ht="55.5" customHeight="1" x14ac:dyDescent="0.3">
      <c r="A54" s="43"/>
      <c r="B54" s="105" t="s">
        <v>224</v>
      </c>
      <c r="C54" s="106"/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94"/>
      <c r="P54" s="94"/>
      <c r="Q54" s="94"/>
      <c r="R54" s="94"/>
      <c r="S54" s="94"/>
      <c r="T54" s="94"/>
      <c r="U54" s="95"/>
      <c r="V54" s="192"/>
      <c r="W54" s="193"/>
      <c r="X54" s="193"/>
      <c r="Y54" s="193"/>
      <c r="Z54" s="193"/>
      <c r="AA54" s="193"/>
      <c r="AB54" s="194"/>
      <c r="AC54" s="128">
        <f ca="1">IF($V$53="А",ROUND(RANDBETWEEN(155,175)/1000,3),IF($V$53="В",ROUND(RANDBETWEEN(125,135)/1000,3),"буква"))</f>
        <v>0.125</v>
      </c>
      <c r="AD54" s="129"/>
      <c r="AE54" s="129"/>
      <c r="AF54" s="129"/>
      <c r="AG54" s="129"/>
      <c r="AH54" s="129"/>
      <c r="AI54" s="130"/>
      <c r="AJ54" s="183">
        <f ca="1">AQ53+RANDBETWEEN(4,7)/1000</f>
        <v>235.29000000000002</v>
      </c>
      <c r="AK54" s="183"/>
      <c r="AL54" s="183"/>
      <c r="AM54" s="183"/>
      <c r="AN54" s="183"/>
      <c r="AO54" s="183"/>
      <c r="AP54" s="90"/>
      <c r="AQ54" s="128">
        <f t="shared" ref="AQ54:AQ55" ca="1" si="0">AJ54+AW54</f>
        <v>235.30300000000003</v>
      </c>
      <c r="AR54" s="129"/>
      <c r="AS54" s="129"/>
      <c r="AT54" s="129"/>
      <c r="AU54" s="129"/>
      <c r="AV54" s="130"/>
      <c r="AW54" s="128">
        <f ca="1">ROUNDUP(AC54*360/3600,3)</f>
        <v>1.3000000000000001E-2</v>
      </c>
      <c r="AX54" s="129"/>
      <c r="AY54" s="129"/>
      <c r="AZ54" s="129"/>
      <c r="BA54" s="129"/>
      <c r="BB54" s="129"/>
      <c r="BC54" s="130"/>
      <c r="BD54" s="125">
        <f ca="1">AW54+RANDBETWEEN(-2,2)/10000</f>
        <v>1.3100000000000001E-2</v>
      </c>
      <c r="BE54" s="126"/>
      <c r="BF54" s="126"/>
      <c r="BG54" s="126"/>
      <c r="BH54" s="126"/>
      <c r="BI54" s="126"/>
      <c r="BJ54" s="127"/>
      <c r="BK54" s="101">
        <f ca="1">ROUND(((AW54-BD54)/BD54)*100,1)</f>
        <v>-0.8</v>
      </c>
      <c r="BL54" s="102"/>
      <c r="BM54" s="102"/>
      <c r="BN54" s="102"/>
      <c r="BO54" s="102"/>
      <c r="BP54" s="103"/>
      <c r="BQ54" s="185" t="s">
        <v>69</v>
      </c>
      <c r="BR54" s="186"/>
      <c r="BS54" s="88"/>
      <c r="BT54" s="136">
        <v>2</v>
      </c>
      <c r="BU54" s="137"/>
      <c r="BV54" s="43"/>
      <c r="BW54" s="43"/>
      <c r="BX54" s="43"/>
    </row>
    <row r="55" spans="1:76" s="60" customFormat="1" ht="45.75" customHeight="1" x14ac:dyDescent="0.3">
      <c r="A55" s="43"/>
      <c r="B55" s="187" t="s">
        <v>74</v>
      </c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86"/>
      <c r="P55" s="86"/>
      <c r="Q55" s="86"/>
      <c r="R55" s="86"/>
      <c r="S55" s="86"/>
      <c r="T55" s="86"/>
      <c r="U55" s="87"/>
      <c r="V55" s="195"/>
      <c r="W55" s="196"/>
      <c r="X55" s="196"/>
      <c r="Y55" s="196"/>
      <c r="Z55" s="196"/>
      <c r="AA55" s="196"/>
      <c r="AB55" s="197"/>
      <c r="AC55" s="147">
        <f ca="1">ROUND(RANDBETWEEN(890,960)/1000,3)</f>
        <v>0.91200000000000003</v>
      </c>
      <c r="AD55" s="148"/>
      <c r="AE55" s="148"/>
      <c r="AF55" s="148"/>
      <c r="AG55" s="148"/>
      <c r="AH55" s="148"/>
      <c r="AI55" s="149"/>
      <c r="AJ55" s="183">
        <f ca="1">AQ54+RANDBETWEEN(15,18)/1000</f>
        <v>235.32000000000002</v>
      </c>
      <c r="AK55" s="183"/>
      <c r="AL55" s="183"/>
      <c r="AM55" s="183"/>
      <c r="AN55" s="183"/>
      <c r="AO55" s="183"/>
      <c r="AP55" s="90"/>
      <c r="AQ55" s="128">
        <f t="shared" ca="1" si="0"/>
        <v>235.35100000000003</v>
      </c>
      <c r="AR55" s="129"/>
      <c r="AS55" s="129"/>
      <c r="AT55" s="129"/>
      <c r="AU55" s="129"/>
      <c r="AV55" s="130"/>
      <c r="AW55" s="128">
        <f ca="1">ROUNDUP(AC55*120/3600,3)</f>
        <v>3.1E-2</v>
      </c>
      <c r="AX55" s="129"/>
      <c r="AY55" s="129"/>
      <c r="AZ55" s="129"/>
      <c r="BA55" s="129"/>
      <c r="BB55" s="129"/>
      <c r="BC55" s="130"/>
      <c r="BD55" s="125">
        <f ca="1">AW55+RANDBETWEEN(-5,5)/10000</f>
        <v>3.15E-2</v>
      </c>
      <c r="BE55" s="150"/>
      <c r="BF55" s="150"/>
      <c r="BG55" s="150"/>
      <c r="BH55" s="150"/>
      <c r="BI55" s="150"/>
      <c r="BJ55" s="151"/>
      <c r="BK55" s="101">
        <f ca="1">ROUND(((AW55-BD55)/BD55)*100,1)</f>
        <v>-1.6</v>
      </c>
      <c r="BL55" s="131"/>
      <c r="BM55" s="131"/>
      <c r="BN55" s="131"/>
      <c r="BO55" s="131"/>
      <c r="BP55" s="132"/>
      <c r="BQ55" s="185" t="s">
        <v>69</v>
      </c>
      <c r="BR55" s="186"/>
      <c r="BS55" s="85"/>
      <c r="BT55" s="136">
        <v>2</v>
      </c>
      <c r="BU55" s="13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84" t="s">
        <v>215</v>
      </c>
      <c r="I56" s="184"/>
      <c r="J56" s="184"/>
      <c r="K56" s="184"/>
      <c r="L56" s="184"/>
      <c r="M56" s="184"/>
      <c r="N56" s="184"/>
      <c r="O56" s="184"/>
      <c r="P56" s="184"/>
      <c r="Q56" s="184"/>
      <c r="R56" s="184"/>
      <c r="S56" s="184"/>
      <c r="T56" s="184"/>
      <c r="U56" s="184"/>
      <c r="V56" s="184"/>
      <c r="W56" s="184"/>
      <c r="X56" s="184"/>
      <c r="Y56" s="184"/>
      <c r="Z56" s="184"/>
      <c r="AA56" s="184"/>
      <c r="AB56" s="184"/>
      <c r="AC56" s="184"/>
      <c r="AD56" s="184"/>
      <c r="AE56" s="184"/>
      <c r="AF56" s="184"/>
      <c r="AG56" s="184"/>
      <c r="AH56" s="184"/>
      <c r="AI56" s="184"/>
      <c r="AJ56" s="184"/>
      <c r="AK56" s="184"/>
      <c r="AL56" s="184"/>
      <c r="AM56" s="184"/>
      <c r="AN56" s="184"/>
      <c r="AO56" s="184"/>
      <c r="AP56" s="184"/>
      <c r="AQ56" s="184"/>
      <c r="AR56" s="184"/>
      <c r="AS56" s="184"/>
      <c r="AT56" s="184"/>
      <c r="AU56" s="184"/>
      <c r="AV56" s="184"/>
      <c r="AW56" s="184"/>
      <c r="AX56" s="184"/>
      <c r="AY56" s="184"/>
      <c r="AZ56" s="184"/>
      <c r="BA56" s="184"/>
      <c r="BB56" s="184"/>
      <c r="BC56" s="184"/>
      <c r="BD56" s="184"/>
      <c r="BE56" s="184"/>
      <c r="BF56" s="184"/>
      <c r="BG56" s="184"/>
      <c r="BH56" s="184"/>
      <c r="BI56" s="184"/>
      <c r="BJ56" s="184"/>
      <c r="BK56" s="184"/>
      <c r="BL56" s="184"/>
      <c r="BM56" s="184"/>
      <c r="BN56" s="184"/>
      <c r="BO56" s="184"/>
      <c r="BP56" s="184"/>
      <c r="BQ56" s="184"/>
      <c r="BR56" s="184"/>
      <c r="BS56" s="184"/>
      <c r="BT56" s="184"/>
      <c r="BU56" s="184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34" t="s">
        <v>8</v>
      </c>
      <c r="C59" s="134"/>
      <c r="D59" s="134"/>
      <c r="E59" s="134"/>
      <c r="F59" s="134"/>
      <c r="G59" s="134"/>
      <c r="H59" s="134"/>
      <c r="I59" s="134"/>
      <c r="J59" s="134"/>
      <c r="K59" s="134"/>
      <c r="L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X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  <c r="BQ59" s="134"/>
      <c r="BR59" s="134"/>
      <c r="BS59" s="134"/>
      <c r="BT59" s="134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22" t="s">
        <v>225</v>
      </c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23"/>
      <c r="AH61" s="123"/>
      <c r="AI61" s="123"/>
      <c r="AJ61" s="123"/>
      <c r="AK61" s="123"/>
      <c r="AL61" s="123"/>
      <c r="AM61" s="123"/>
      <c r="AN61" s="123"/>
      <c r="AO61" s="123"/>
      <c r="AP61" s="123"/>
      <c r="AQ61" s="123"/>
      <c r="AR61" s="123"/>
      <c r="AS61" s="123"/>
      <c r="AT61" s="123"/>
      <c r="AU61" s="123"/>
      <c r="AV61" s="123"/>
      <c r="AW61" s="123"/>
      <c r="AX61" s="123"/>
      <c r="AY61" s="123"/>
      <c r="AZ61" s="123"/>
      <c r="BA61" s="123"/>
      <c r="BB61" s="123"/>
      <c r="BC61" s="123"/>
      <c r="BD61" s="123"/>
      <c r="BE61" s="123"/>
      <c r="BF61" s="123"/>
      <c r="BG61" s="123"/>
      <c r="BH61" s="123"/>
      <c r="BI61" s="123"/>
      <c r="BJ61" s="123"/>
      <c r="BK61" s="123"/>
      <c r="BL61" s="123"/>
      <c r="BM61" s="123"/>
      <c r="BN61" s="123"/>
      <c r="BO61" s="123"/>
      <c r="BP61" s="123"/>
      <c r="BQ61" s="123"/>
      <c r="BR61" s="123"/>
      <c r="BS61" s="123"/>
      <c r="BT61" s="123"/>
      <c r="BU61" s="123"/>
      <c r="BV61" s="123"/>
      <c r="BW61" s="43"/>
      <c r="BX61" s="43"/>
    </row>
    <row r="62" spans="1:76" ht="19.5" customHeight="1" x14ac:dyDescent="0.3">
      <c r="A62" s="123"/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  <c r="T62" s="123"/>
      <c r="U62" s="123"/>
      <c r="V62" s="123"/>
      <c r="W62" s="123"/>
      <c r="X62" s="123"/>
      <c r="Y62" s="123"/>
      <c r="Z62" s="123"/>
      <c r="AA62" s="123"/>
      <c r="AB62" s="123"/>
      <c r="AC62" s="123"/>
      <c r="AD62" s="123"/>
      <c r="AE62" s="123"/>
      <c r="AF62" s="123"/>
      <c r="AG62" s="123"/>
      <c r="AH62" s="123"/>
      <c r="AI62" s="123"/>
      <c r="AJ62" s="123"/>
      <c r="AK62" s="123"/>
      <c r="AL62" s="123"/>
      <c r="AM62" s="123"/>
      <c r="AN62" s="123"/>
      <c r="AO62" s="123"/>
      <c r="AP62" s="123"/>
      <c r="AQ62" s="123"/>
      <c r="AR62" s="123"/>
      <c r="AS62" s="123"/>
      <c r="AT62" s="123"/>
      <c r="AU62" s="123"/>
      <c r="AV62" s="123"/>
      <c r="AW62" s="123"/>
      <c r="AX62" s="123"/>
      <c r="AY62" s="123"/>
      <c r="AZ62" s="123"/>
      <c r="BA62" s="123"/>
      <c r="BB62" s="123"/>
      <c r="BC62" s="123"/>
      <c r="BD62" s="123"/>
      <c r="BE62" s="123"/>
      <c r="BF62" s="123"/>
      <c r="BG62" s="123"/>
      <c r="BH62" s="123"/>
      <c r="BI62" s="123"/>
      <c r="BJ62" s="123"/>
      <c r="BK62" s="123"/>
      <c r="BL62" s="123"/>
      <c r="BM62" s="123"/>
      <c r="BN62" s="123"/>
      <c r="BO62" s="123"/>
      <c r="BP62" s="123"/>
      <c r="BQ62" s="123"/>
      <c r="BR62" s="123"/>
      <c r="BS62" s="123"/>
      <c r="BT62" s="123"/>
      <c r="BU62" s="123"/>
      <c r="BV62" s="123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40" t="str">
        <f>Данные!C9</f>
        <v>Стариков С.В.</v>
      </c>
      <c r="W64" s="140"/>
      <c r="X64" s="140"/>
      <c r="Y64" s="140"/>
      <c r="Z64" s="140"/>
      <c r="AA64" s="140"/>
      <c r="AB64" s="140"/>
      <c r="AC64" s="140"/>
      <c r="AD64" s="140"/>
      <c r="AE64" s="140"/>
      <c r="AF64" s="140"/>
      <c r="AG64" s="140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35">
        <f>Данные!B10</f>
        <v>45947</v>
      </c>
      <c r="BC64" s="135"/>
      <c r="BD64" s="135"/>
      <c r="BE64" s="135"/>
      <c r="BF64" s="135"/>
      <c r="BG64" s="135"/>
      <c r="BH64" s="135"/>
      <c r="BI64" s="135"/>
      <c r="BJ64" s="135"/>
      <c r="BK64" s="135"/>
      <c r="BL64" s="135"/>
      <c r="BM64" s="135"/>
      <c r="BN64" s="135"/>
      <c r="BO64" s="135"/>
      <c r="BP64" s="135"/>
      <c r="BQ64" s="135"/>
      <c r="BR64" s="135"/>
      <c r="BS64" s="135"/>
      <c r="BT64" s="13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33" t="s">
        <v>10</v>
      </c>
      <c r="J65" s="133"/>
      <c r="K65" s="133"/>
      <c r="L65" s="133"/>
      <c r="M65" s="133"/>
      <c r="N65" s="133"/>
      <c r="O65" s="133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  <mergeCell ref="A5:BV5"/>
    <mergeCell ref="A1:BV1"/>
    <mergeCell ref="A2:BV2"/>
    <mergeCell ref="A3:BV3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P31:AV31"/>
    <mergeCell ref="AF28:AO28"/>
    <mergeCell ref="AP28:AV28"/>
    <mergeCell ref="AF30:AO30"/>
    <mergeCell ref="AP30:AV30"/>
    <mergeCell ref="AF31:AO31"/>
    <mergeCell ref="AX28:BE28"/>
    <mergeCell ref="AX29:BE29"/>
    <mergeCell ref="AX30:BF30"/>
    <mergeCell ref="AX31:BW31"/>
    <mergeCell ref="BK54:BP54"/>
    <mergeCell ref="BD50:BJ52"/>
    <mergeCell ref="AW50:BC52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zoomScale="91" zoomScaleNormal="91" workbookViewId="0">
      <selection activeCell="A22" sqref="A22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66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234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2010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235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237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45947</v>
      </c>
      <c r="C10" s="13"/>
      <c r="D10" s="13"/>
      <c r="E10" s="13"/>
    </row>
    <row r="11" spans="1:21" ht="18" x14ac:dyDescent="0.35">
      <c r="A11" s="11" t="s">
        <v>15</v>
      </c>
      <c r="B11" s="76">
        <v>25.3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58.3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104.8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6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6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45951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1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2025-10-21T05:51:37Z</cp:lastPrinted>
  <dcterms:created xsi:type="dcterms:W3CDTF">2015-01-22T18:16:29Z</dcterms:created>
  <dcterms:modified xsi:type="dcterms:W3CDTF">2025-10-21T06:05:12Z</dcterms:modified>
</cp:coreProperties>
</file>