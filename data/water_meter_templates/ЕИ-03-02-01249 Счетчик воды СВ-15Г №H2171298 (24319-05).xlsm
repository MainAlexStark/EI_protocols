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13_ncr:1_{825ABD71-04EF-4A74-81E8-9DF5B87E7C64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<sst xmlns="http://schemas.openxmlformats.org/spreadsheetml/2006/main" count="499" uniqueCount="271">
  <si>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</si>
  <si>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</si>
  <si>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</si>
  <si>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</si>
  <si>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</si>
  <si>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</si>
  <si>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</si>
  <si>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</si>
  <si>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</si>
  <si>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</si>
  <si>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</si>
  <si>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</si>
  <si>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</si>
  <si>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</si>
  <si>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</si>
  <si>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</si>
  <si>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</si>
  <si>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</si>
  <si>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</si>
  <si>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</si>
  <si>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</si>
  <si>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</si>
  <si>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</si>
  <si>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</si>
  <si>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</si>
  <si>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</si>
  <si>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</si>
  <si>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</si>
  <si>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</si>
  <si>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</si>
  <si>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</si>
  <si>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</si>
  <si>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</si>
  <si>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</si>
  <si>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</si>
  <si>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</si>
  <si>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</si>
  <si>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</si>
  <si>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</si>
  <si>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</si>
  <si>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</si>
  <si>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</si>
  <si>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</si>
  <si>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</si>
  <si>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</si>
  <si>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</si>
  <si>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</si>
  <si>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</si>
  <si>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</si>
  <si>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</si>
  <si>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</si>
  <si>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</si>
  <si>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</si>
  <si>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</si>
  <si>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</si>
  <si>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</si>
  <si>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</si>
  <si>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</si>
  <si>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</si>
  <si>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</si>
  <si>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</si>
  <si>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</si>
  <si>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</si>
  <si>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</si>
  <si>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</si>
  <si>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</si>
  <si>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</si>
  <si>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</si>
  <si>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</si>
  <si>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</si>
  <si>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</si>
  <si>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</si>
  <si>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</si>
  <si>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</si>
  <si>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</si>
  <si>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</si>
  <si>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</si>
  <si>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</si>
  <si>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</si>
  <si>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</si>
  <si>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</si>
  <si>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</si>
  <si>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</si>
  <si>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</si>
  <si>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</si>
  <si>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</si>
  <si>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</si>
  <si>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</si>
  <si>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</si>
  <si>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</si>
  <si>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</si>
  <si>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</si>
  <si>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</si>
  <si>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</si>
  <si>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</si>
  <si>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</si>
  <si>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</si>
  <si>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</si>
  <si>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</si>
  <si>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</si>
  <si>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</si>
  <si>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</si>
  <si>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</si>
  <si>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</si>
  <si>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</si>
  <si>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</si>
  <si>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</si>
  <si>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</si>
  <si>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</si>
  <si>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</si>
  <si>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</si>
  <si>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</si>
  <si>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</si>
  <si>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</si>
  <si>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</si>
  <si>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</si>
  <si>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</si>
  <si>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</si>
  <si>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</si>
  <si>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</si>
  <si>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</si>
  <si>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</si>
  <si>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</si>
  <si>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</si>
  <si>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</si>
  <si>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</si>
  <si>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</si>
  <si>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</si>
  <si>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</si>
  <si>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</si>
  <si>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</si>
  <si>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</si>
  <si>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</si>
  <si>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</si>
  <si>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</si>
  <si>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</si>
  <si>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</si>
  <si>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</si>
  <si>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</si>
  <si>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</si>
  <si>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</si>
  <si>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</si>
  <si>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</si>
  <si>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</si>
  <si>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</si>
  <si>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</si>
  <si>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</si>
  <si>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</si>
  <si>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</si>
  <si>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</si>
  <si>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</si>
  <si>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</si>
  <si>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</si>
  <si>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</si>
  <si>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</si>
  <si>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</si>
  <si>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</si>
  <si>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</si>
  <si>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</si>
  <si>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</si>
  <si>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</si>
  <si>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</si>
  <si>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</si>
  <si>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</si>
  <si>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</si>
  <si>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</si>
  <si>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</si>
  <si>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</si>
  <si>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</si>
  <si>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</si>
  <si>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</si>
  <si>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</si>
  <si>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</si>
  <si>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</si>
  <si>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</si>
  <si>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</si>
  <si>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</si>
  <si>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</si>
  <si>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</si>
  <si>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</si>
  <si>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</si>
  <si>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</si>
  <si>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</si>
  <si>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</si>
  <si>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</si>
  <si>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</si>
  <si>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</si>
  <si>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</si>
  <si>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</si>
  <si>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</si>
  <si>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</si>
  <si>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</si>
  <si>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</si>
  <si>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</si>
  <si>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</si>
  <si>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</si>
  <si>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</si>
  <si>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</si>
  <si>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</si>
  <si>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</si>
  <si>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</si>
  <si>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</si>
  <si>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</si>
  <si>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</si>
  <si>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</si>
  <si>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</si>
  <si>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</si>
  <si>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</si>
  <si>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</si>
  <si>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</si>
  <si>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</si>
  <si>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</si>
  <si>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</si>
  <si>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</si>
  <si>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</si>
  <si>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</si>
  <si>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</si>
  <si>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</si>
  <si>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</si>
  <si>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</si>
  <si>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</si>
  <si>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</si>
  <si>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</si>
  <si>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</si>
  <si>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</si>
  <si>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</si>
  <si>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</si>
  <si>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</si>
  <si>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</si>
  <si>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</si>
  <si>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</si>
  <si>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</si>
  <si>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</si>
  <si>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</si>
  <si>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</si>
  <si>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</si>
  <si>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</si>
  <si>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</si>
  <si>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</si>
  <si>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</si>
  <si>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</si>
  <si>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</si>
  <si>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</si>
  <si>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</si>
  <si>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</si>
  <si>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</si>
  <si>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</si>
  <si>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</si>
  <si>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</si>
  <si>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</si>
  <si>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</si>
  <si>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</si>
  <si>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</si>
  <si>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</si>
  <si>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</si>
  <si>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</si>
  <si>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</si>
  <si>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</si>
  <si>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</si>
  <si>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</si>
  <si>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</si>
  <si>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</si>
  <si>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</si>
  <si>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</si>
  <si>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</si>
  <si>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</si>
  <si>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</si>
  <si>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01249</t>
  </si>
  <si>
    <t>H2171298</t>
  </si>
  <si>
    <t>267,620</t>
  </si>
  <si>
    <t>г. Киров, ул. Динамовский, 12-1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</si>
</sst>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№ЕИ-04/02-01249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СВ-15Г, год изготовления 2010, заводской № H2171298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24319-05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Динамовский, 12-1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25.4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26.299999999999997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53.2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61.400000000000006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102.3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102.3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 t="str">
        <f>Данные!B5</f>
        <v>267,620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267.62700000000001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6.8000000000000005E-3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2.9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0.03</v>
      </c>
      <c r="AD54" s="124"/>
      <c r="AE54" s="124"/>
      <c r="AF54" s="124"/>
      <c r="AG54" s="124"/>
      <c r="AH54" s="124"/>
      <c r="AI54" s="125"/>
      <c r="AJ54" s="123">
        <f ca="1">AQ53+RANDBETWEEN(1,3)/1000</f>
        <v>267.63</v>
      </c>
      <c r="AK54" s="124"/>
      <c r="AL54" s="124"/>
      <c r="AM54" s="124"/>
      <c r="AN54" s="124"/>
      <c r="AO54" s="124"/>
      <c r="AP54" s="125"/>
      <c r="AQ54" s="123">
        <f t="shared" ca="1" si="0"/>
        <v>267.63599999999997</v>
      </c>
      <c r="AR54" s="124"/>
      <c r="AS54" s="124"/>
      <c r="AT54" s="124"/>
      <c r="AU54" s="124"/>
      <c r="AV54" s="125"/>
      <c r="AW54" s="123">
        <f ca="1">ROUNDUP(AC54*720/3600,3)</f>
        <v>6.0000000000000001E-3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6.0000000000000001E-3</v>
      </c>
      <c r="BE54" s="136"/>
      <c r="BF54" s="136"/>
      <c r="BG54" s="136"/>
      <c r="BH54" s="136"/>
      <c r="BI54" s="136"/>
      <c r="BJ54" s="137"/>
      <c r="BK54" s="132">
        <f t="shared" ca="1" si="1"/>
        <v>0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267.63799999999998</v>
      </c>
      <c r="AK55" s="120"/>
      <c r="AL55" s="120"/>
      <c r="AM55" s="120"/>
      <c r="AN55" s="120"/>
      <c r="AO55" s="120"/>
      <c r="AP55" s="121"/>
      <c r="AQ55" s="123">
        <f t="shared" ca="1" si="0"/>
        <v>267.64399999999995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6.3E-3</v>
      </c>
      <c r="BE55" s="136"/>
      <c r="BF55" s="136"/>
      <c r="BG55" s="136"/>
      <c r="BH55" s="136"/>
      <c r="BI55" s="136"/>
      <c r="BJ55" s="137"/>
      <c r="BK55" s="132">
        <f t="shared" ca="1" si="1"/>
        <v>-4.8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0.129</v>
      </c>
      <c r="AD56" s="124"/>
      <c r="AE56" s="124"/>
      <c r="AF56" s="124"/>
      <c r="AG56" s="124"/>
      <c r="AH56" s="124"/>
      <c r="AI56" s="125"/>
      <c r="AJ56" s="119">
        <f ca="1">AQ55+RANDBETWEEN(4,7)/1000</f>
        <v>267.65099999999995</v>
      </c>
      <c r="AK56" s="120"/>
      <c r="AL56" s="120"/>
      <c r="AM56" s="120"/>
      <c r="AN56" s="120"/>
      <c r="AO56" s="120"/>
      <c r="AP56" s="121"/>
      <c r="AQ56" s="123">
        <f t="shared" ca="1" si="0"/>
        <v>267.66399999999993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1.3000000000000001E-2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0.13100000000000001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267.67099999999994</v>
      </c>
      <c r="AK57" s="120"/>
      <c r="AL57" s="120"/>
      <c r="AM57" s="120"/>
      <c r="AN57" s="120"/>
      <c r="AO57" s="120"/>
      <c r="AP57" s="121"/>
      <c r="AQ57" s="123">
        <f t="shared" ca="1" si="0"/>
        <v>267.68499999999995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1.4199999999999999E-2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-1.4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0.13500000000000001</v>
      </c>
      <c r="AD58" s="124"/>
      <c r="AE58" s="124"/>
      <c r="AF58" s="124"/>
      <c r="AG58" s="124"/>
      <c r="AH58" s="124"/>
      <c r="AI58" s="125"/>
      <c r="AJ58" s="119">
        <f t="shared" ca="1" si="4"/>
        <v>267.69199999999995</v>
      </c>
      <c r="AK58" s="120"/>
      <c r="AL58" s="120"/>
      <c r="AM58" s="120"/>
      <c r="AN58" s="120"/>
      <c r="AO58" s="120"/>
      <c r="AP58" s="121"/>
      <c r="AQ58" s="123">
        <f t="shared" ca="1" si="0"/>
        <v>267.70599999999996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1.3999999999999999E-2</v>
      </c>
      <c r="BE58" s="136"/>
      <c r="BF58" s="136"/>
      <c r="BG58" s="136"/>
      <c r="BH58" s="136"/>
      <c r="BI58" s="136"/>
      <c r="BJ58" s="137"/>
      <c r="BK58" s="132">
        <f t="shared" ca="1" si="5"/>
        <v>0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0.94899999999999995</v>
      </c>
      <c r="AD59" s="158"/>
      <c r="AE59" s="158"/>
      <c r="AF59" s="158"/>
      <c r="AG59" s="158"/>
      <c r="AH59" s="158"/>
      <c r="AI59" s="159"/>
      <c r="AJ59" s="174">
        <f ca="1">AQ58+RANDBETWEEN(15,18)/1000</f>
        <v>267.72299999999996</v>
      </c>
      <c r="AK59" s="175"/>
      <c r="AL59" s="175"/>
      <c r="AM59" s="175"/>
      <c r="AN59" s="175"/>
      <c r="AO59" s="175"/>
      <c r="AP59" s="176"/>
      <c r="AQ59" s="126">
        <f ca="1">AJ59+AW59</f>
        <v>267.75499999999994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3.15E-2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1.6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0.89600000000000002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267.76999999999992</v>
      </c>
      <c r="AK60" s="120"/>
      <c r="AL60" s="120"/>
      <c r="AM60" s="120"/>
      <c r="AN60" s="120"/>
      <c r="AO60" s="120"/>
      <c r="AP60" s="121"/>
      <c r="AQ60" s="123">
        <f t="shared" ca="1" si="0"/>
        <v>267.7999999999999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3.0500000000000003E-2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-1.6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0.94699999999999995</v>
      </c>
      <c r="AD61" s="158"/>
      <c r="AE61" s="158"/>
      <c r="AF61" s="158"/>
      <c r="AG61" s="158"/>
      <c r="AH61" s="158"/>
      <c r="AI61" s="159"/>
      <c r="AJ61" s="171">
        <f ca="1">AQ60+RANDBETWEEN(15,18)/1000</f>
        <v>267.81699999999989</v>
      </c>
      <c r="AK61" s="172"/>
      <c r="AL61" s="172"/>
      <c r="AM61" s="172"/>
      <c r="AN61" s="172"/>
      <c r="AO61" s="172"/>
      <c r="AP61" s="173"/>
      <c r="AQ61" s="129">
        <f t="shared" ca="1" si="0"/>
        <v>267.84899999999988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3.1800000000000002E-2</v>
      </c>
      <c r="BE61" s="160"/>
      <c r="BF61" s="160"/>
      <c r="BG61" s="160"/>
      <c r="BH61" s="160"/>
      <c r="BI61" s="160"/>
      <c r="BJ61" s="161"/>
      <c r="BK61" s="132">
        <f ca="1">ROUND(((AW61-BD61)/BD61)*100,1)</f>
        <v>0.6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45932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130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2010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2025-09-30T15:53:52Z</cp:lastPrinted>
  <dcterms:created xsi:type="dcterms:W3CDTF">2015-01-22T18:16:29Z</dcterms:created>
  <dcterms:modified xsi:type="dcterms:W3CDTF">2025-10-08T12:03:25Z</dcterms:modified>
</cp:coreProperties>
</file>