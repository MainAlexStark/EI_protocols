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4.10.2025\"/>
    </mc:Choice>
  </mc:AlternateContent>
  <xr:revisionPtr revIDLastSave="0" documentId="13_ncr:1_{DE23E641-3A73-4D4C-BE59-075A74562AD6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<sst xmlns="http://schemas.openxmlformats.org/spreadsheetml/2006/main" count="407" uniqueCount="238">
  <si>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</si>
  <si>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</si>
  <si>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</si>
  <si>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</si>
  <si>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</si>
  <si>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</si>
  <si>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</si>
  <si>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</si>
  <si>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</si>
  <si>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</si>
  <si>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</si>
  <si>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</si>
  <si>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</si>
  <si>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</si>
  <si>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</si>
  <si>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</si>
  <si>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</si>
  <si>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</si>
  <si>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</si>
  <si>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</si>
  <si>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</si>
  <si>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</si>
  <si>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</si>
  <si>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</si>
  <si>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</si>
  <si>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</si>
  <si>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</si>
  <si>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</si>
  <si>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</si>
  <si>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</si>
  <si>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</si>
  <si>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</si>
  <si>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</si>
  <si>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</si>
  <si>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</si>
  <si>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</si>
  <si>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</si>
  <si>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</si>
  <si>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</si>
  <si>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</si>
  <si>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</si>
  <si>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</si>
  <si>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</si>
  <si>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</si>
  <si>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</si>
  <si>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</si>
  <si>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</si>
  <si>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</si>
  <si>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</si>
  <si>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</si>
  <si>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</si>
  <si>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</si>
  <si>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</si>
  <si>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</si>
  <si>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</si>
  <si>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</si>
  <si>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</si>
  <si>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</si>
  <si>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</si>
  <si>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</si>
  <si>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</si>
  <si>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</si>
  <si>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</si>
  <si>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</si>
  <si>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</si>
  <si>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</si>
  <si>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</si>
  <si>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</si>
  <si>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</si>
  <si>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</si>
  <si>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</si>
  <si>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</si>
  <si>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</si>
  <si>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</si>
  <si>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</si>
  <si>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</si>
  <si>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</si>
  <si>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</si>
  <si>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</si>
  <si>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</si>
  <si>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</si>
  <si>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</si>
  <si>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</si>
  <si>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</si>
  <si>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</si>
  <si>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</si>
  <si>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</si>
  <si>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</si>
  <si>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</si>
  <si>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</si>
  <si>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</si>
  <si>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</si>
  <si>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</si>
  <si>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</si>
  <si>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</si>
  <si>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</si>
  <si>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</si>
  <si>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</si>
  <si>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</si>
  <si>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</si>
  <si>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</si>
  <si>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</si>
  <si>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</si>
  <si>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</si>
  <si>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</si>
  <si>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</si>
  <si>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</si>
  <si>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</si>
  <si>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</si>
  <si>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</si>
  <si>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</si>
  <si>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</si>
  <si>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</si>
  <si>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</si>
  <si>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</si>
  <si>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</si>
  <si>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</si>
  <si>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</si>
  <si>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</si>
  <si>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</si>
  <si>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</si>
  <si>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</si>
  <si>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</si>
  <si>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</si>
  <si>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</si>
  <si>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</si>
  <si>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</si>
  <si>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</si>
  <si>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</si>
  <si>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</si>
  <si>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</si>
  <si>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</si>
  <si>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</si>
  <si>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</si>
  <si>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</si>
  <si>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</si>
  <si>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</si>
  <si>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</si>
  <si>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</si>
  <si>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</si>
  <si>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</si>
  <si>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</si>
  <si>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</si>
  <si>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</si>
  <si>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</si>
  <si>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</si>
  <si>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</si>
  <si>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</si>
  <si>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</si>
  <si>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</si>
  <si>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</si>
  <si>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</si>
  <si>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</si>
  <si>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</si>
  <si>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</si>
  <si>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</si>
  <si>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</si>
  <si>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</si>
  <si>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</si>
  <si>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</si>
  <si>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</si>
  <si>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</si>
  <si>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</si>
  <si>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</si>
  <si>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</si>
  <si>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</si>
  <si>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</si>
  <si>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</si>
  <si>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</si>
  <si>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</si>
  <si>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</si>
  <si>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</si>
  <si>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</si>
  <si>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</si>
  <si>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</si>
  <si>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</si>
  <si>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</si>
  <si>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</si>
  <si>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</si>
  <si>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</si>
  <si>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</si>
  <si>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</si>
  <si>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</si>
  <si>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</si>
  <si>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</si>
  <si>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</si>
  <si>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</si>
  <si>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</si>
  <si>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</si>
  <si>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</si>
  <si>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</si>
  <si>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</si>
  <si>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</si>
  <si>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</si>
  <si>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</si>
  <si>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</si>
  <si>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</si>
  <si>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</si>
  <si>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</si>
  <si>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</si>
  <si>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</si>
  <si>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</si>
  <si>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</si>
  <si>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</si>
  <si>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</si>
  <si>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</si>
  <si>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</si>
  <si>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</si>
  <si>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</si>
  <si>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</si>
  <si>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</si>
  <si>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</si>
  <si>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</si>
  <si>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</si>
  <si>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</si>
  <si>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</si>
  <si>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</si>
  <si>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</si>
  <si>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</si>
  <si>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</si>
  <si>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</si>
  <si>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</si>
  <si>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</si>
  <si>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</si>
  <si>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</si>
  <si>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</si>
  <si>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</si>
  <si>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</si>
  <si>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</si>
  <si>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</si>
  <si>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</si>
  <si>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</si>
  <si>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</si>
  <si>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</si>
  <si>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18353492</t>
  </si>
  <si>
    <t>01286</t>
  </si>
  <si>
    <t>548,555</t>
  </si>
  <si>
    <t>Яранский район, с.Каракша,ул.Молодежная 8-1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</si>
</sst>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34" fillId="0" borderId="17" xfId="0" applyFont="1" applyBorder="1" applyAlignment="1">
      <alignment horizontal="left" vertic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7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34" fillId="0" borderId="17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view="pageLayout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24" t="s">
        <v>97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4"/>
      <c r="BA1" s="124"/>
      <c r="BB1" s="124"/>
      <c r="BC1" s="124"/>
      <c r="BD1" s="124"/>
      <c r="BE1" s="124"/>
      <c r="BF1" s="124"/>
      <c r="BG1" s="124"/>
      <c r="BH1" s="124"/>
      <c r="BI1" s="124"/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43"/>
      <c r="BX1" s="43"/>
      <c r="BY1" s="91"/>
      <c r="BZ1" s="91"/>
      <c r="CA1" s="91"/>
      <c r="CB1" s="91"/>
    </row>
    <row r="2" spans="1:80" ht="18" customHeight="1" x14ac:dyDescent="0.3">
      <c r="A2" s="124" t="s">
        <v>98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4"/>
      <c r="AZ2" s="124"/>
      <c r="BA2" s="124"/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43"/>
      <c r="BX2" s="43"/>
    </row>
    <row r="3" spans="1:80" ht="18.75" customHeight="1" x14ac:dyDescent="0.3">
      <c r="A3" s="125" t="s">
        <v>100</v>
      </c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  <c r="AP3" s="125"/>
      <c r="AQ3" s="125"/>
      <c r="AR3" s="125"/>
      <c r="AS3" s="125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43"/>
      <c r="BX3" s="43"/>
    </row>
    <row r="4" spans="1:80" x14ac:dyDescent="0.3">
      <c r="A4" s="125" t="s">
        <v>99</v>
      </c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  <c r="AG4" s="125"/>
      <c r="AH4" s="125"/>
      <c r="AI4" s="125"/>
      <c r="AJ4" s="125"/>
      <c r="AK4" s="125"/>
      <c r="AL4" s="125"/>
      <c r="AM4" s="125"/>
      <c r="AN4" s="125"/>
      <c r="AO4" s="125"/>
      <c r="AP4" s="125"/>
      <c r="AQ4" s="125"/>
      <c r="AR4" s="125"/>
      <c r="AS4" s="125"/>
      <c r="AT4" s="125"/>
      <c r="AU4" s="125"/>
      <c r="AV4" s="125"/>
      <c r="AW4" s="125"/>
      <c r="AX4" s="125"/>
      <c r="AY4" s="125"/>
      <c r="AZ4" s="125"/>
      <c r="BA4" s="125"/>
      <c r="BB4" s="125"/>
      <c r="BC4" s="125"/>
      <c r="BD4" s="125"/>
      <c r="BE4" s="125"/>
      <c r="BF4" s="125"/>
      <c r="BG4" s="125"/>
      <c r="BH4" s="125"/>
      <c r="BI4" s="125"/>
      <c r="BJ4" s="125"/>
      <c r="BK4" s="125"/>
      <c r="BL4" s="125"/>
      <c r="BM4" s="125"/>
      <c r="BN4" s="125"/>
      <c r="BO4" s="125"/>
      <c r="BP4" s="125"/>
      <c r="BQ4" s="125"/>
      <c r="BR4" s="125"/>
      <c r="BS4" s="125"/>
      <c r="BT4" s="125"/>
      <c r="BU4" s="125"/>
      <c r="BV4" s="125"/>
      <c r="BW4" s="43"/>
      <c r="BX4" s="43"/>
    </row>
    <row r="5" spans="1:80" ht="27" customHeight="1" x14ac:dyDescent="0.35">
      <c r="A5" s="123" t="str">
        <f>CONCATENATE("ПРОТОКОЛ №","ЕИ-04/",Данные!B9,"-",Данные!B2)</f>
        <v>ПРОТОКОЛ №ЕИ-04/02-01286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  <c r="AS5" s="123"/>
      <c r="AT5" s="123"/>
      <c r="AU5" s="123"/>
      <c r="AV5" s="123"/>
      <c r="AW5" s="123"/>
      <c r="AX5" s="123"/>
      <c r="AY5" s="123"/>
      <c r="AZ5" s="123"/>
      <c r="BA5" s="123"/>
      <c r="BB5" s="123"/>
      <c r="BC5" s="123"/>
      <c r="BD5" s="123"/>
      <c r="BE5" s="123"/>
      <c r="BF5" s="123"/>
      <c r="BG5" s="123"/>
      <c r="BH5" s="123"/>
      <c r="BI5" s="123"/>
      <c r="BJ5" s="123"/>
      <c r="BK5" s="123"/>
      <c r="BL5" s="123"/>
      <c r="BM5" s="123"/>
      <c r="BN5" s="123"/>
      <c r="BO5" s="123"/>
      <c r="BP5" s="123"/>
      <c r="BQ5" s="123"/>
      <c r="BR5" s="123"/>
      <c r="BS5" s="123"/>
      <c r="BT5" s="123"/>
      <c r="BU5" s="123"/>
      <c r="BV5" s="123"/>
      <c r="BW5" s="43"/>
      <c r="BX5" s="43"/>
    </row>
    <row r="6" spans="1:80" ht="15.75" customHeight="1" x14ac:dyDescent="0.3">
      <c r="A6" s="163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2015, заводской № 18353492</v>
      </c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  <c r="U6" s="164"/>
      <c r="V6" s="164"/>
      <c r="W6" s="164"/>
      <c r="X6" s="164"/>
      <c r="Y6" s="164"/>
      <c r="Z6" s="164"/>
      <c r="AA6" s="164"/>
      <c r="AB6" s="164"/>
      <c r="AC6" s="164"/>
      <c r="AD6" s="164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64"/>
      <c r="AX6" s="164"/>
      <c r="AY6" s="164"/>
      <c r="AZ6" s="164"/>
      <c r="BA6" s="164"/>
      <c r="BB6" s="164"/>
      <c r="BC6" s="164"/>
      <c r="BD6" s="164"/>
      <c r="BE6" s="164"/>
      <c r="BF6" s="164"/>
      <c r="BG6" s="164"/>
      <c r="BH6" s="164"/>
      <c r="BI6" s="164"/>
      <c r="BJ6" s="164"/>
      <c r="BK6" s="164"/>
      <c r="BL6" s="164"/>
      <c r="BM6" s="164"/>
      <c r="BN6" s="164"/>
      <c r="BO6" s="164"/>
      <c r="BP6" s="164"/>
      <c r="BQ6" s="164"/>
      <c r="BR6" s="164"/>
      <c r="BS6" s="164"/>
      <c r="BT6" s="164"/>
      <c r="BU6" s="164"/>
      <c r="BV6" s="164"/>
      <c r="BW6" s="164"/>
      <c r="BX6" s="43"/>
    </row>
    <row r="7" spans="1:80" s="60" customFormat="1" ht="15.75" customHeight="1" x14ac:dyDescent="0.3">
      <c r="A7" s="164"/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  <c r="AK7" s="164"/>
      <c r="AL7" s="164"/>
      <c r="AM7" s="164"/>
      <c r="AN7" s="164"/>
      <c r="AO7" s="164"/>
      <c r="AP7" s="164"/>
      <c r="AQ7" s="164"/>
      <c r="AR7" s="164"/>
      <c r="AS7" s="164"/>
      <c r="AT7" s="164"/>
      <c r="AU7" s="164"/>
      <c r="AV7" s="164"/>
      <c r="AW7" s="164"/>
      <c r="AX7" s="164"/>
      <c r="AY7" s="164"/>
      <c r="AZ7" s="164"/>
      <c r="BA7" s="164"/>
      <c r="BB7" s="164"/>
      <c r="BC7" s="164"/>
      <c r="BD7" s="164"/>
      <c r="BE7" s="164"/>
      <c r="BF7" s="164"/>
      <c r="BG7" s="164"/>
      <c r="BH7" s="164"/>
      <c r="BI7" s="164"/>
      <c r="BJ7" s="164"/>
      <c r="BK7" s="164"/>
      <c r="BL7" s="164"/>
      <c r="BM7" s="164"/>
      <c r="BN7" s="164"/>
      <c r="BO7" s="164"/>
      <c r="BP7" s="164"/>
      <c r="BQ7" s="164"/>
      <c r="BR7" s="164"/>
      <c r="BS7" s="164"/>
      <c r="BT7" s="164"/>
      <c r="BU7" s="164"/>
      <c r="BV7" s="164"/>
      <c r="BW7" s="164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Яранский район, с.Каракша,ул.Молодежная 8-1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31" t="s">
        <v>28</v>
      </c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  <c r="AH12" s="131"/>
      <c r="AI12" s="131"/>
      <c r="AJ12" s="131"/>
      <c r="AK12" s="131"/>
      <c r="AL12" s="131"/>
      <c r="AM12" s="131"/>
      <c r="AN12" s="131"/>
      <c r="AO12" s="131"/>
      <c r="AP12" s="131"/>
      <c r="AQ12" s="131"/>
      <c r="AR12" s="131"/>
      <c r="AS12" s="131"/>
      <c r="AT12" s="131"/>
      <c r="AU12" s="131"/>
      <c r="AV12" s="131"/>
      <c r="AW12" s="131"/>
      <c r="AX12" s="131"/>
      <c r="AY12" s="131"/>
      <c r="AZ12" s="131"/>
      <c r="BA12" s="131"/>
      <c r="BB12" s="131"/>
      <c r="BC12" s="131"/>
      <c r="BD12" s="131"/>
      <c r="BE12" s="131"/>
      <c r="BF12" s="131"/>
      <c r="BG12" s="131"/>
      <c r="BH12" s="131"/>
      <c r="BI12" s="131"/>
      <c r="BJ12" s="131"/>
      <c r="BK12" s="131"/>
      <c r="BL12" s="131"/>
      <c r="BM12" s="131"/>
      <c r="BN12" s="131"/>
      <c r="BO12" s="131"/>
      <c r="BP12" s="131"/>
      <c r="BQ12" s="131"/>
      <c r="BR12" s="131"/>
      <c r="BS12" s="131"/>
      <c r="BT12" s="131"/>
      <c r="BU12" s="131"/>
      <c r="BV12" s="131"/>
      <c r="BW12" s="131"/>
      <c r="BX12" s="131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57" t="s">
        <v>82</v>
      </c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158"/>
      <c r="AB26" s="158"/>
      <c r="AC26" s="158"/>
      <c r="AD26" s="158"/>
      <c r="AE26" s="159"/>
      <c r="AF26" s="177" t="s">
        <v>78</v>
      </c>
      <c r="AG26" s="158"/>
      <c r="AH26" s="158"/>
      <c r="AI26" s="158"/>
      <c r="AJ26" s="158"/>
      <c r="AK26" s="158"/>
      <c r="AL26" s="158"/>
      <c r="AM26" s="158"/>
      <c r="AN26" s="158"/>
      <c r="AO26" s="159"/>
      <c r="AP26" s="177" t="s">
        <v>79</v>
      </c>
      <c r="AQ26" s="158"/>
      <c r="AR26" s="158"/>
      <c r="AS26" s="158"/>
      <c r="AT26" s="158"/>
      <c r="AU26" s="158"/>
      <c r="AV26" s="159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60"/>
      <c r="B27" s="161"/>
      <c r="C27" s="161"/>
      <c r="D27" s="161"/>
      <c r="E27" s="161"/>
      <c r="F27" s="161"/>
      <c r="G27" s="161"/>
      <c r="H27" s="161"/>
      <c r="I27" s="161"/>
      <c r="J27" s="161"/>
      <c r="K27" s="161"/>
      <c r="L27" s="161"/>
      <c r="M27" s="161"/>
      <c r="N27" s="161"/>
      <c r="O27" s="161"/>
      <c r="P27" s="161"/>
      <c r="Q27" s="161"/>
      <c r="R27" s="161"/>
      <c r="S27" s="161"/>
      <c r="T27" s="161"/>
      <c r="U27" s="161"/>
      <c r="V27" s="161"/>
      <c r="W27" s="161"/>
      <c r="X27" s="161"/>
      <c r="Y27" s="161"/>
      <c r="Z27" s="161"/>
      <c r="AA27" s="161"/>
      <c r="AB27" s="161"/>
      <c r="AC27" s="161"/>
      <c r="AD27" s="161"/>
      <c r="AE27" s="162"/>
      <c r="AF27" s="160"/>
      <c r="AG27" s="161"/>
      <c r="AH27" s="161"/>
      <c r="AI27" s="161"/>
      <c r="AJ27" s="161"/>
      <c r="AK27" s="161"/>
      <c r="AL27" s="161"/>
      <c r="AM27" s="161"/>
      <c r="AN27" s="161"/>
      <c r="AO27" s="162"/>
      <c r="AP27" s="160"/>
      <c r="AQ27" s="161"/>
      <c r="AR27" s="161"/>
      <c r="AS27" s="161"/>
      <c r="AT27" s="161"/>
      <c r="AU27" s="161"/>
      <c r="AV27" s="162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4" t="s">
        <v>75</v>
      </c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56"/>
      <c r="AF28" s="194">
        <f>Данные!B11</f>
        <v>22.3</v>
      </c>
      <c r="AG28" s="152"/>
      <c r="AH28" s="152"/>
      <c r="AI28" s="152"/>
      <c r="AJ28" s="152"/>
      <c r="AK28" s="152"/>
      <c r="AL28" s="152"/>
      <c r="AM28" s="152"/>
      <c r="AN28" s="152"/>
      <c r="AO28" s="153"/>
      <c r="AP28" s="194">
        <f ca="1">AF28+(RANDBETWEEN(-26,53)/10)</f>
        <v>26.5</v>
      </c>
      <c r="AQ28" s="152"/>
      <c r="AR28" s="152"/>
      <c r="AS28" s="152"/>
      <c r="AT28" s="152"/>
      <c r="AU28" s="152"/>
      <c r="AV28" s="153"/>
      <c r="AW28" s="63"/>
      <c r="AX28" s="198" t="s">
        <v>94</v>
      </c>
      <c r="AY28" s="198"/>
      <c r="AZ28" s="198"/>
      <c r="BA28" s="198"/>
      <c r="BB28" s="198"/>
      <c r="BC28" s="198"/>
      <c r="BD28" s="198"/>
      <c r="BE28" s="198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1" t="s">
        <v>76</v>
      </c>
      <c r="B29" s="152"/>
      <c r="C29" s="152"/>
      <c r="D29" s="152"/>
      <c r="E29" s="152"/>
      <c r="F29" s="152"/>
      <c r="G29" s="152"/>
      <c r="H29" s="152"/>
      <c r="I29" s="152"/>
      <c r="J29" s="152"/>
      <c r="K29" s="152"/>
      <c r="L29" s="152"/>
      <c r="M29" s="152"/>
      <c r="N29" s="152"/>
      <c r="O29" s="152"/>
      <c r="P29" s="152"/>
      <c r="Q29" s="152"/>
      <c r="R29" s="152"/>
      <c r="S29" s="152"/>
      <c r="T29" s="152"/>
      <c r="U29" s="152"/>
      <c r="V29" s="152"/>
      <c r="W29" s="152"/>
      <c r="X29" s="152"/>
      <c r="Y29" s="152"/>
      <c r="Z29" s="152"/>
      <c r="AA29" s="152"/>
      <c r="AB29" s="152"/>
      <c r="AC29" s="152"/>
      <c r="AD29" s="152"/>
      <c r="AE29" s="153"/>
      <c r="AF29" s="178">
        <f>Данные!B12</f>
        <v>57.1</v>
      </c>
      <c r="AG29" s="152"/>
      <c r="AH29" s="152"/>
      <c r="AI29" s="152"/>
      <c r="AJ29" s="152"/>
      <c r="AK29" s="152"/>
      <c r="AL29" s="152"/>
      <c r="AM29" s="152"/>
      <c r="AN29" s="152"/>
      <c r="AO29" s="153"/>
      <c r="AP29" s="178">
        <f ca="1">AF29+(RANDBETWEEN(43,97)/10)</f>
        <v>65.900000000000006</v>
      </c>
      <c r="AQ29" s="152"/>
      <c r="AR29" s="152"/>
      <c r="AS29" s="152"/>
      <c r="AT29" s="152"/>
      <c r="AU29" s="152"/>
      <c r="AV29" s="153"/>
      <c r="AW29" s="63"/>
      <c r="AX29" s="198" t="s">
        <v>95</v>
      </c>
      <c r="AY29" s="198"/>
      <c r="AZ29" s="198"/>
      <c r="BA29" s="198"/>
      <c r="BB29" s="198"/>
      <c r="BC29" s="198"/>
      <c r="BD29" s="198"/>
      <c r="BE29" s="198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1" t="s">
        <v>77</v>
      </c>
      <c r="B30" s="152"/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52"/>
      <c r="Z30" s="152"/>
      <c r="AA30" s="152"/>
      <c r="AB30" s="152"/>
      <c r="AC30" s="152"/>
      <c r="AD30" s="152"/>
      <c r="AE30" s="153"/>
      <c r="AF30" s="178">
        <f>Данные!B13</f>
        <v>107.8</v>
      </c>
      <c r="AG30" s="152"/>
      <c r="AH30" s="152"/>
      <c r="AI30" s="152"/>
      <c r="AJ30" s="152"/>
      <c r="AK30" s="152"/>
      <c r="AL30" s="152"/>
      <c r="AM30" s="152"/>
      <c r="AN30" s="152"/>
      <c r="AO30" s="153"/>
      <c r="AP30" s="195">
        <f>AF30</f>
        <v>107.8</v>
      </c>
      <c r="AQ30" s="196"/>
      <c r="AR30" s="196"/>
      <c r="AS30" s="196"/>
      <c r="AT30" s="196"/>
      <c r="AU30" s="196"/>
      <c r="AV30" s="197"/>
      <c r="AW30" s="63"/>
      <c r="AX30" s="198" t="s">
        <v>96</v>
      </c>
      <c r="AY30" s="198"/>
      <c r="AZ30" s="198"/>
      <c r="BA30" s="198"/>
      <c r="BB30" s="198"/>
      <c r="BC30" s="198"/>
      <c r="BD30" s="198"/>
      <c r="BE30" s="198"/>
      <c r="BF30" s="198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1" t="s">
        <v>83</v>
      </c>
      <c r="B31" s="152"/>
      <c r="C31" s="152"/>
      <c r="D31" s="152"/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52"/>
      <c r="W31" s="152"/>
      <c r="X31" s="152"/>
      <c r="Y31" s="152"/>
      <c r="Z31" s="152"/>
      <c r="AA31" s="152"/>
      <c r="AB31" s="152"/>
      <c r="AC31" s="152"/>
      <c r="AD31" s="152"/>
      <c r="AE31" s="153"/>
      <c r="AF31" s="178">
        <f>Данные!B14</f>
        <v>4</v>
      </c>
      <c r="AG31" s="152"/>
      <c r="AH31" s="152"/>
      <c r="AI31" s="152"/>
      <c r="AJ31" s="152"/>
      <c r="AK31" s="152"/>
      <c r="AL31" s="152"/>
      <c r="AM31" s="152"/>
      <c r="AN31" s="152"/>
      <c r="AO31" s="153"/>
      <c r="AP31" s="178">
        <f>Данные!B15</f>
        <v>4</v>
      </c>
      <c r="AQ31" s="152"/>
      <c r="AR31" s="152"/>
      <c r="AS31" s="152"/>
      <c r="AT31" s="152"/>
      <c r="AU31" s="152"/>
      <c r="AV31" s="153"/>
      <c r="AW31" s="63"/>
      <c r="AX31" s="199" t="s">
        <v>81</v>
      </c>
      <c r="AY31" s="199"/>
      <c r="AZ31" s="199"/>
      <c r="BA31" s="199"/>
      <c r="BB31" s="199"/>
      <c r="BC31" s="199"/>
      <c r="BD31" s="199"/>
      <c r="BE31" s="199"/>
      <c r="BF31" s="199"/>
      <c r="BG31" s="199"/>
      <c r="BH31" s="199"/>
      <c r="BI31" s="199"/>
      <c r="BJ31" s="199"/>
      <c r="BK31" s="199"/>
      <c r="BL31" s="199"/>
      <c r="BM31" s="199"/>
      <c r="BN31" s="199"/>
      <c r="BO31" s="199"/>
      <c r="BP31" s="199"/>
      <c r="BQ31" s="199"/>
      <c r="BR31" s="199"/>
      <c r="BS31" s="199"/>
      <c r="BT31" s="199"/>
      <c r="BU31" s="199"/>
      <c r="BV31" s="199"/>
      <c r="BW31" s="199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31" t="s">
        <v>31</v>
      </c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  <c r="AH33" s="131"/>
      <c r="AI33" s="131"/>
      <c r="AJ33" s="131"/>
      <c r="AK33" s="131"/>
      <c r="AL33" s="131"/>
      <c r="AM33" s="131"/>
      <c r="AN33" s="131"/>
      <c r="AO33" s="131"/>
      <c r="AP33" s="131"/>
      <c r="AQ33" s="131"/>
      <c r="AR33" s="131"/>
      <c r="AS33" s="131"/>
      <c r="AT33" s="131"/>
      <c r="AU33" s="131"/>
      <c r="AV33" s="131"/>
      <c r="AW33" s="131"/>
      <c r="AX33" s="131"/>
      <c r="AY33" s="131"/>
      <c r="AZ33" s="131"/>
      <c r="BA33" s="131"/>
      <c r="BB33" s="131"/>
      <c r="BC33" s="131"/>
      <c r="BD33" s="131"/>
      <c r="BE33" s="131"/>
      <c r="BF33" s="131"/>
      <c r="BG33" s="131"/>
      <c r="BH33" s="131"/>
      <c r="BI33" s="131"/>
      <c r="BJ33" s="131"/>
      <c r="BK33" s="131"/>
      <c r="BL33" s="131"/>
      <c r="BM33" s="131"/>
      <c r="BN33" s="131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31" t="s">
        <v>32</v>
      </c>
      <c r="E37" s="131"/>
      <c r="F37" s="131"/>
      <c r="G37" s="131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31"/>
      <c r="AF37" s="131"/>
      <c r="AG37" s="131"/>
      <c r="AH37" s="131"/>
      <c r="AI37" s="131"/>
      <c r="AJ37" s="131"/>
      <c r="AK37" s="131"/>
      <c r="AL37" s="131"/>
      <c r="AM37" s="131"/>
      <c r="AN37" s="131"/>
      <c r="AO37" s="131"/>
      <c r="AP37" s="131"/>
      <c r="AQ37" s="131"/>
      <c r="AR37" s="131"/>
      <c r="AS37" s="131"/>
      <c r="AT37" s="131"/>
      <c r="AU37" s="131"/>
      <c r="AV37" s="131"/>
      <c r="AW37" s="131"/>
      <c r="AX37" s="131"/>
      <c r="AY37" s="131"/>
      <c r="AZ37" s="131"/>
      <c r="BA37" s="131"/>
      <c r="BB37" s="131"/>
      <c r="BC37" s="131"/>
      <c r="BD37" s="131"/>
      <c r="BE37" s="131"/>
      <c r="BF37" s="131"/>
      <c r="BG37" s="131"/>
      <c r="BH37" s="131"/>
      <c r="BI37" s="131"/>
      <c r="BJ37" s="131"/>
      <c r="BK37" s="131"/>
      <c r="BL37" s="131"/>
      <c r="BM37" s="131"/>
      <c r="BN37" s="131"/>
      <c r="BO37" s="131"/>
      <c r="BP37" s="131"/>
      <c r="BQ37" s="131"/>
      <c r="BR37" s="131"/>
      <c r="BS37" s="131"/>
      <c r="BT37" s="131"/>
      <c r="BU37" s="131"/>
      <c r="BV37" s="5"/>
      <c r="BW37" s="43"/>
      <c r="BX37" s="43"/>
    </row>
    <row r="38" spans="1:76" ht="4.5" customHeight="1" x14ac:dyDescent="0.3">
      <c r="A38" s="129" t="str">
        <f>INDEX(Данные!$K$54:$W$99,Данные!K52,2)</f>
        <v>«Рекомендация. ГСИ. Счетчики воды. Методика поверки» МИ 1592-2015</v>
      </c>
      <c r="B38" s="130"/>
      <c r="C38" s="130"/>
      <c r="D38" s="130"/>
      <c r="E38" s="130"/>
      <c r="F38" s="130"/>
      <c r="G38" s="130"/>
      <c r="H38" s="130"/>
      <c r="I38" s="130"/>
      <c r="J38" s="130"/>
      <c r="K38" s="130"/>
      <c r="L38" s="130"/>
      <c r="M38" s="130"/>
      <c r="N38" s="130"/>
      <c r="O38" s="130"/>
      <c r="P38" s="130"/>
      <c r="Q38" s="130"/>
      <c r="R38" s="130"/>
      <c r="S38" s="130"/>
      <c r="T38" s="130"/>
      <c r="U38" s="130"/>
      <c r="V38" s="130"/>
      <c r="W38" s="130"/>
      <c r="X38" s="130"/>
      <c r="Y38" s="130"/>
      <c r="Z38" s="130"/>
      <c r="AA38" s="130"/>
      <c r="AB38" s="130"/>
      <c r="AC38" s="130"/>
      <c r="AD38" s="130"/>
      <c r="AE38" s="130"/>
      <c r="AF38" s="130"/>
      <c r="AG38" s="130"/>
      <c r="AH38" s="130"/>
      <c r="AI38" s="130"/>
      <c r="AJ38" s="130"/>
      <c r="AK38" s="130"/>
      <c r="AL38" s="130"/>
      <c r="AM38" s="130"/>
      <c r="AN38" s="130"/>
      <c r="AO38" s="130"/>
      <c r="AP38" s="130"/>
      <c r="AQ38" s="130"/>
      <c r="AR38" s="130"/>
      <c r="AS38" s="130"/>
      <c r="AT38" s="130"/>
      <c r="AU38" s="130"/>
      <c r="AV38" s="130"/>
      <c r="AW38" s="130"/>
      <c r="AX38" s="130"/>
      <c r="AY38" s="130"/>
      <c r="AZ38" s="130"/>
      <c r="BA38" s="130"/>
      <c r="BB38" s="130"/>
      <c r="BC38" s="130"/>
      <c r="BD38" s="130"/>
      <c r="BE38" s="130"/>
      <c r="BF38" s="130"/>
      <c r="BG38" s="130"/>
      <c r="BH38" s="130"/>
      <c r="BI38" s="130"/>
      <c r="BJ38" s="130"/>
      <c r="BK38" s="130"/>
      <c r="BL38" s="130"/>
      <c r="BM38" s="130"/>
      <c r="BN38" s="130"/>
      <c r="BO38" s="130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30"/>
      <c r="B39" s="130"/>
      <c r="C39" s="130"/>
      <c r="D39" s="130"/>
      <c r="E39" s="130"/>
      <c r="F39" s="130"/>
      <c r="G39" s="130"/>
      <c r="H39" s="130"/>
      <c r="I39" s="130"/>
      <c r="J39" s="130"/>
      <c r="K39" s="130"/>
      <c r="L39" s="130"/>
      <c r="M39" s="130"/>
      <c r="N39" s="130"/>
      <c r="O39" s="130"/>
      <c r="P39" s="130"/>
      <c r="Q39" s="130"/>
      <c r="R39" s="130"/>
      <c r="S39" s="130"/>
      <c r="T39" s="130"/>
      <c r="U39" s="130"/>
      <c r="V39" s="130"/>
      <c r="W39" s="130"/>
      <c r="X39" s="130"/>
      <c r="Y39" s="130"/>
      <c r="Z39" s="130"/>
      <c r="AA39" s="130"/>
      <c r="AB39" s="130"/>
      <c r="AC39" s="130"/>
      <c r="AD39" s="130"/>
      <c r="AE39" s="130"/>
      <c r="AF39" s="130"/>
      <c r="AG39" s="130"/>
      <c r="AH39" s="130"/>
      <c r="AI39" s="130"/>
      <c r="AJ39" s="130"/>
      <c r="AK39" s="130"/>
      <c r="AL39" s="130"/>
      <c r="AM39" s="130"/>
      <c r="AN39" s="130"/>
      <c r="AO39" s="130"/>
      <c r="AP39" s="130"/>
      <c r="AQ39" s="130"/>
      <c r="AR39" s="130"/>
      <c r="AS39" s="130"/>
      <c r="AT39" s="130"/>
      <c r="AU39" s="130"/>
      <c r="AV39" s="130"/>
      <c r="AW39" s="130"/>
      <c r="AX39" s="130"/>
      <c r="AY39" s="130"/>
      <c r="AZ39" s="130"/>
      <c r="BA39" s="130"/>
      <c r="BB39" s="130"/>
      <c r="BC39" s="130"/>
      <c r="BD39" s="130"/>
      <c r="BE39" s="130"/>
      <c r="BF39" s="130"/>
      <c r="BG39" s="130"/>
      <c r="BH39" s="130"/>
      <c r="BI39" s="130"/>
      <c r="BJ39" s="130"/>
      <c r="BK39" s="130"/>
      <c r="BL39" s="130"/>
      <c r="BM39" s="130"/>
      <c r="BN39" s="130"/>
      <c r="BO39" s="130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31" t="s">
        <v>33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  <c r="AP41" s="131"/>
      <c r="AQ41" s="131"/>
      <c r="AR41" s="131"/>
      <c r="AS41" s="131"/>
      <c r="AT41" s="131"/>
      <c r="AU41" s="131"/>
      <c r="AV41" s="131"/>
      <c r="AW41" s="131"/>
      <c r="AX41" s="131"/>
      <c r="AY41" s="131"/>
      <c r="AZ41" s="131"/>
      <c r="BA41" s="131"/>
      <c r="BB41" s="131"/>
      <c r="BC41" s="131"/>
      <c r="BD41" s="131"/>
      <c r="BE41" s="131"/>
      <c r="BF41" s="131"/>
      <c r="BG41" s="131"/>
      <c r="BH41" s="131"/>
      <c r="BI41" s="131"/>
      <c r="BJ41" s="131"/>
      <c r="BK41" s="131"/>
      <c r="BL41" s="131"/>
      <c r="BM41" s="131"/>
      <c r="BN41" s="131"/>
      <c r="BO41" s="131"/>
      <c r="BP41" s="131"/>
      <c r="BQ41" s="131"/>
      <c r="BR41" s="131"/>
      <c r="BS41" s="131"/>
      <c r="BT41" s="131"/>
      <c r="BU41" s="131"/>
      <c r="BV41" s="131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2" t="s">
        <v>7</v>
      </c>
      <c r="C48" s="143"/>
      <c r="D48" s="143"/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4"/>
      <c r="V48" s="142" t="s">
        <v>3</v>
      </c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4"/>
      <c r="BV48" s="43"/>
      <c r="BW48" s="43"/>
      <c r="BX48" s="43"/>
    </row>
    <row r="49" spans="1:76" ht="13.5" customHeight="1" x14ac:dyDescent="0.3">
      <c r="A49" s="43"/>
      <c r="B49" s="145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7"/>
      <c r="V49" s="148"/>
      <c r="W49" s="149"/>
      <c r="X49" s="149"/>
      <c r="Y49" s="149"/>
      <c r="Z49" s="149"/>
      <c r="AA49" s="149"/>
      <c r="AB49" s="149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  <c r="AW49" s="149"/>
      <c r="AX49" s="149"/>
      <c r="AY49" s="149"/>
      <c r="AZ49" s="149"/>
      <c r="BA49" s="149"/>
      <c r="BB49" s="149"/>
      <c r="BC49" s="149"/>
      <c r="BD49" s="149"/>
      <c r="BE49" s="149"/>
      <c r="BF49" s="149"/>
      <c r="BG49" s="149"/>
      <c r="BH49" s="149"/>
      <c r="BI49" s="149"/>
      <c r="BJ49" s="149"/>
      <c r="BK49" s="149"/>
      <c r="BL49" s="149"/>
      <c r="BM49" s="149"/>
      <c r="BN49" s="149"/>
      <c r="BO49" s="149"/>
      <c r="BP49" s="149"/>
      <c r="BQ49" s="149"/>
      <c r="BR49" s="149"/>
      <c r="BS49" s="149"/>
      <c r="BT49" s="149"/>
      <c r="BU49" s="150"/>
      <c r="BV49" s="43"/>
      <c r="BW49" s="43"/>
      <c r="BX49" s="43"/>
    </row>
    <row r="50" spans="1:76" ht="13.5" customHeight="1" x14ac:dyDescent="0.3">
      <c r="A50" s="43"/>
      <c r="B50" s="145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7"/>
      <c r="V50" s="101" t="s">
        <v>4</v>
      </c>
      <c r="W50" s="102"/>
      <c r="X50" s="102"/>
      <c r="Y50" s="102"/>
      <c r="Z50" s="102"/>
      <c r="AA50" s="102"/>
      <c r="AB50" s="180"/>
      <c r="AC50" s="141" t="s">
        <v>88</v>
      </c>
      <c r="AD50" s="141"/>
      <c r="AE50" s="141"/>
      <c r="AF50" s="141"/>
      <c r="AG50" s="141"/>
      <c r="AH50" s="141"/>
      <c r="AI50" s="141"/>
      <c r="AJ50" s="126" t="s">
        <v>72</v>
      </c>
      <c r="AK50" s="127"/>
      <c r="AL50" s="127"/>
      <c r="AM50" s="127"/>
      <c r="AN50" s="127"/>
      <c r="AO50" s="127"/>
      <c r="AP50" s="127"/>
      <c r="AQ50" s="127"/>
      <c r="AR50" s="127"/>
      <c r="AS50" s="127"/>
      <c r="AT50" s="127"/>
      <c r="AU50" s="127"/>
      <c r="AV50" s="128"/>
      <c r="AW50" s="101" t="s">
        <v>212</v>
      </c>
      <c r="AX50" s="102"/>
      <c r="AY50" s="102"/>
      <c r="AZ50" s="102"/>
      <c r="BA50" s="102"/>
      <c r="BB50" s="102"/>
      <c r="BC50" s="180"/>
      <c r="BD50" s="141" t="s">
        <v>89</v>
      </c>
      <c r="BE50" s="141"/>
      <c r="BF50" s="141"/>
      <c r="BG50" s="141"/>
      <c r="BH50" s="141"/>
      <c r="BI50" s="141"/>
      <c r="BJ50" s="141"/>
      <c r="BK50" s="141" t="s">
        <v>5</v>
      </c>
      <c r="BL50" s="141"/>
      <c r="BM50" s="141"/>
      <c r="BN50" s="141"/>
      <c r="BO50" s="141"/>
      <c r="BP50" s="141"/>
      <c r="BQ50" s="132" t="s">
        <v>6</v>
      </c>
      <c r="BR50" s="133"/>
      <c r="BS50" s="133"/>
      <c r="BT50" s="133"/>
      <c r="BU50" s="134"/>
      <c r="BV50" s="43"/>
      <c r="BW50" s="43"/>
      <c r="BX50" s="43"/>
    </row>
    <row r="51" spans="1:76" s="60" customFormat="1" ht="10.5" customHeight="1" x14ac:dyDescent="0.3">
      <c r="A51" s="43"/>
      <c r="B51" s="145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7"/>
      <c r="V51" s="181"/>
      <c r="W51" s="182"/>
      <c r="X51" s="182"/>
      <c r="Y51" s="182"/>
      <c r="Z51" s="182"/>
      <c r="AA51" s="182"/>
      <c r="AB51" s="183"/>
      <c r="AC51" s="141"/>
      <c r="AD51" s="141"/>
      <c r="AE51" s="141"/>
      <c r="AF51" s="141"/>
      <c r="AG51" s="141"/>
      <c r="AH51" s="141"/>
      <c r="AI51" s="141"/>
      <c r="AJ51" s="101" t="s">
        <v>85</v>
      </c>
      <c r="AK51" s="102"/>
      <c r="AL51" s="102"/>
      <c r="AM51" s="102"/>
      <c r="AN51" s="102"/>
      <c r="AO51" s="102"/>
      <c r="AP51" s="180"/>
      <c r="AQ51" s="101" t="s">
        <v>86</v>
      </c>
      <c r="AR51" s="102"/>
      <c r="AS51" s="102"/>
      <c r="AT51" s="102"/>
      <c r="AU51" s="102"/>
      <c r="AV51" s="180"/>
      <c r="AW51" s="181"/>
      <c r="AX51" s="182"/>
      <c r="AY51" s="182"/>
      <c r="AZ51" s="182"/>
      <c r="BA51" s="182"/>
      <c r="BB51" s="182"/>
      <c r="BC51" s="183"/>
      <c r="BD51" s="141"/>
      <c r="BE51" s="141"/>
      <c r="BF51" s="141"/>
      <c r="BG51" s="141"/>
      <c r="BH51" s="141"/>
      <c r="BI51" s="141"/>
      <c r="BJ51" s="141"/>
      <c r="BK51" s="141"/>
      <c r="BL51" s="141"/>
      <c r="BM51" s="141"/>
      <c r="BN51" s="141"/>
      <c r="BO51" s="141"/>
      <c r="BP51" s="141"/>
      <c r="BQ51" s="135"/>
      <c r="BR51" s="136"/>
      <c r="BS51" s="136"/>
      <c r="BT51" s="136"/>
      <c r="BU51" s="137"/>
      <c r="BV51" s="43"/>
      <c r="BW51" s="43"/>
      <c r="BX51" s="43"/>
    </row>
    <row r="52" spans="1:76" s="65" customFormat="1" ht="22.2" customHeight="1" x14ac:dyDescent="0.3">
      <c r="A52" s="93"/>
      <c r="B52" s="148"/>
      <c r="C52" s="149"/>
      <c r="D52" s="149"/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50"/>
      <c r="V52" s="184"/>
      <c r="W52" s="185"/>
      <c r="X52" s="185"/>
      <c r="Y52" s="185"/>
      <c r="Z52" s="185"/>
      <c r="AA52" s="185"/>
      <c r="AB52" s="186"/>
      <c r="AC52" s="141"/>
      <c r="AD52" s="141"/>
      <c r="AE52" s="141"/>
      <c r="AF52" s="141"/>
      <c r="AG52" s="141"/>
      <c r="AH52" s="141"/>
      <c r="AI52" s="141"/>
      <c r="AJ52" s="184"/>
      <c r="AK52" s="185"/>
      <c r="AL52" s="185"/>
      <c r="AM52" s="185"/>
      <c r="AN52" s="185"/>
      <c r="AO52" s="185"/>
      <c r="AP52" s="186"/>
      <c r="AQ52" s="184"/>
      <c r="AR52" s="185"/>
      <c r="AS52" s="185"/>
      <c r="AT52" s="185"/>
      <c r="AU52" s="185"/>
      <c r="AV52" s="186"/>
      <c r="AW52" s="184"/>
      <c r="AX52" s="185"/>
      <c r="AY52" s="185"/>
      <c r="AZ52" s="185"/>
      <c r="BA52" s="185"/>
      <c r="BB52" s="185"/>
      <c r="BC52" s="186"/>
      <c r="BD52" s="141"/>
      <c r="BE52" s="141"/>
      <c r="BF52" s="141"/>
      <c r="BG52" s="141"/>
      <c r="BH52" s="141"/>
      <c r="BI52" s="141"/>
      <c r="BJ52" s="141"/>
      <c r="BK52" s="141"/>
      <c r="BL52" s="141"/>
      <c r="BM52" s="141"/>
      <c r="BN52" s="141"/>
      <c r="BO52" s="141"/>
      <c r="BP52" s="141"/>
      <c r="BQ52" s="138"/>
      <c r="BR52" s="139"/>
      <c r="BS52" s="139"/>
      <c r="BT52" s="139"/>
      <c r="BU52" s="140"/>
      <c r="BV52" s="93"/>
      <c r="BW52" s="93"/>
      <c r="BX52" s="93"/>
    </row>
    <row r="53" spans="1:76" ht="59.25" customHeight="1" x14ac:dyDescent="0.3">
      <c r="A53" s="43"/>
      <c r="B53" s="101" t="s">
        <v>73</v>
      </c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82"/>
      <c r="P53" s="82"/>
      <c r="Q53" s="82"/>
      <c r="R53" s="82"/>
      <c r="S53" s="82"/>
      <c r="T53" s="82"/>
      <c r="U53" s="83"/>
      <c r="V53" s="107" t="s">
        <v>90</v>
      </c>
      <c r="W53" s="108"/>
      <c r="X53" s="108"/>
      <c r="Y53" s="108"/>
      <c r="Z53" s="108"/>
      <c r="AA53" s="108"/>
      <c r="AB53" s="109"/>
      <c r="AC53" s="120">
        <f ca="1">IF($V$53="В",ROUND(RANDBETWEEN(30,33)/1000,3),IF($V$53="А",ROUND(RANDBETWEEN(60,66)/1000,3),"буква"))</f>
        <v>3.3000000000000002E-2</v>
      </c>
      <c r="AD53" s="121"/>
      <c r="AE53" s="121"/>
      <c r="AF53" s="121"/>
      <c r="AG53" s="121"/>
      <c r="AH53" s="121"/>
      <c r="AI53" s="122"/>
      <c r="AJ53" s="119" t="str">
        <f>Данные!B6</f>
        <v>548,555</v>
      </c>
      <c r="AK53" s="119"/>
      <c r="AL53" s="119"/>
      <c r="AM53" s="119"/>
      <c r="AN53" s="119"/>
      <c r="AO53" s="119"/>
      <c r="AP53" s="90"/>
      <c r="AQ53" s="118">
        <f ca="1">AJ53+AW53</f>
        <v>548.5619999999999</v>
      </c>
      <c r="AR53" s="118"/>
      <c r="AS53" s="118"/>
      <c r="AT53" s="118"/>
      <c r="AU53" s="118"/>
      <c r="AV53" s="118"/>
      <c r="AW53" s="120">
        <f ca="1">ROUNDUP(AC53*720/3600,3)</f>
        <v>7.0000000000000001E-3</v>
      </c>
      <c r="AX53" s="121"/>
      <c r="AY53" s="121"/>
      <c r="AZ53" s="121"/>
      <c r="BA53" s="121"/>
      <c r="BB53" s="121"/>
      <c r="BC53" s="122"/>
      <c r="BD53" s="169">
        <f ca="1">AW53+RANDBETWEEN(-2,3)/10000</f>
        <v>6.8000000000000005E-3</v>
      </c>
      <c r="BE53" s="175"/>
      <c r="BF53" s="175"/>
      <c r="BG53" s="175"/>
      <c r="BH53" s="175"/>
      <c r="BI53" s="175"/>
      <c r="BJ53" s="176"/>
      <c r="BK53" s="172">
        <f ca="1">ROUND(((AW53-BD53)/BD53)*100,1)</f>
        <v>2.9</v>
      </c>
      <c r="BL53" s="173"/>
      <c r="BM53" s="173"/>
      <c r="BN53" s="173"/>
      <c r="BO53" s="173"/>
      <c r="BP53" s="174"/>
      <c r="BQ53" s="103" t="s">
        <v>69</v>
      </c>
      <c r="BR53" s="104"/>
      <c r="BS53" s="88"/>
      <c r="BT53" s="116">
        <v>5</v>
      </c>
      <c r="BU53" s="117"/>
      <c r="BV53" s="43"/>
      <c r="BW53" s="43"/>
      <c r="BX53" s="43"/>
    </row>
    <row r="54" spans="1:76" s="60" customFormat="1" ht="55.5" customHeight="1" x14ac:dyDescent="0.3">
      <c r="A54" s="43"/>
      <c r="B54" s="101" t="s">
        <v>224</v>
      </c>
      <c r="C54" s="102"/>
      <c r="D54" s="102"/>
      <c r="E54" s="102"/>
      <c r="F54" s="102"/>
      <c r="G54" s="102"/>
      <c r="H54" s="102"/>
      <c r="I54" s="102"/>
      <c r="J54" s="102"/>
      <c r="K54" s="102"/>
      <c r="L54" s="102"/>
      <c r="M54" s="102"/>
      <c r="N54" s="102"/>
      <c r="O54" s="94"/>
      <c r="P54" s="94"/>
      <c r="Q54" s="94"/>
      <c r="R54" s="94"/>
      <c r="S54" s="94"/>
      <c r="T54" s="94"/>
      <c r="U54" s="95"/>
      <c r="V54" s="110"/>
      <c r="W54" s="111"/>
      <c r="X54" s="111"/>
      <c r="Y54" s="111"/>
      <c r="Z54" s="111"/>
      <c r="AA54" s="111"/>
      <c r="AB54" s="112"/>
      <c r="AC54" s="120">
        <f ca="1">IF($V$53="А",ROUND(RANDBETWEEN(155,175)/1000,3),IF($V$53="В",ROUND(RANDBETWEEN(125,135)/1000,3),"буква"))</f>
        <v>0.128</v>
      </c>
      <c r="AD54" s="121"/>
      <c r="AE54" s="121"/>
      <c r="AF54" s="121"/>
      <c r="AG54" s="121"/>
      <c r="AH54" s="121"/>
      <c r="AI54" s="122"/>
      <c r="AJ54" s="99">
        <f ca="1">AQ53+RANDBETWEEN(4,7)/1000</f>
        <v>548.56899999999985</v>
      </c>
      <c r="AK54" s="99"/>
      <c r="AL54" s="99"/>
      <c r="AM54" s="99"/>
      <c r="AN54" s="99"/>
      <c r="AO54" s="99"/>
      <c r="AP54" s="90"/>
      <c r="AQ54" s="120">
        <f t="shared" ref="AQ54:AQ55" ca="1" si="0">AJ54+AW54</f>
        <v>548.58199999999988</v>
      </c>
      <c r="AR54" s="121"/>
      <c r="AS54" s="121"/>
      <c r="AT54" s="121"/>
      <c r="AU54" s="121"/>
      <c r="AV54" s="122"/>
      <c r="AW54" s="120">
        <f ca="1">ROUNDUP(AC54*360/3600,3)</f>
        <v>1.3000000000000001E-2</v>
      </c>
      <c r="AX54" s="121"/>
      <c r="AY54" s="121"/>
      <c r="AZ54" s="121"/>
      <c r="BA54" s="121"/>
      <c r="BB54" s="121"/>
      <c r="BC54" s="122"/>
      <c r="BD54" s="169">
        <f ca="1">AW54+RANDBETWEEN(-2,2)/10000</f>
        <v>1.3200000000000002E-2</v>
      </c>
      <c r="BE54" s="175"/>
      <c r="BF54" s="175"/>
      <c r="BG54" s="175"/>
      <c r="BH54" s="175"/>
      <c r="BI54" s="175"/>
      <c r="BJ54" s="176"/>
      <c r="BK54" s="172">
        <f ca="1">ROUND(((AW54-BD54)/BD54)*100,1)</f>
        <v>-1.5</v>
      </c>
      <c r="BL54" s="173"/>
      <c r="BM54" s="173"/>
      <c r="BN54" s="173"/>
      <c r="BO54" s="173"/>
      <c r="BP54" s="174"/>
      <c r="BQ54" s="103" t="s">
        <v>69</v>
      </c>
      <c r="BR54" s="104"/>
      <c r="BS54" s="88"/>
      <c r="BT54" s="116">
        <v>2</v>
      </c>
      <c r="BU54" s="117"/>
      <c r="BV54" s="43"/>
      <c r="BW54" s="43"/>
      <c r="BX54" s="43"/>
    </row>
    <row r="55" spans="1:76" s="60" customFormat="1" ht="45.75" customHeight="1" x14ac:dyDescent="0.3">
      <c r="A55" s="43"/>
      <c r="B55" s="105" t="s">
        <v>74</v>
      </c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6"/>
      <c r="O55" s="86"/>
      <c r="P55" s="86"/>
      <c r="Q55" s="86"/>
      <c r="R55" s="86"/>
      <c r="S55" s="86"/>
      <c r="T55" s="86"/>
      <c r="U55" s="87"/>
      <c r="V55" s="113"/>
      <c r="W55" s="114"/>
      <c r="X55" s="114"/>
      <c r="Y55" s="114"/>
      <c r="Z55" s="114"/>
      <c r="AA55" s="114"/>
      <c r="AB55" s="115"/>
      <c r="AC55" s="166">
        <f ca="1">ROUND(RANDBETWEEN(890,960)/1000,3)</f>
        <v>0.89800000000000002</v>
      </c>
      <c r="AD55" s="167"/>
      <c r="AE55" s="167"/>
      <c r="AF55" s="167"/>
      <c r="AG55" s="167"/>
      <c r="AH55" s="167"/>
      <c r="AI55" s="168"/>
      <c r="AJ55" s="99">
        <f ca="1">AQ54+RANDBETWEEN(15,18)/1000</f>
        <v>548.59899999999993</v>
      </c>
      <c r="AK55" s="99"/>
      <c r="AL55" s="99"/>
      <c r="AM55" s="99"/>
      <c r="AN55" s="99"/>
      <c r="AO55" s="99"/>
      <c r="AP55" s="90"/>
      <c r="AQ55" s="120">
        <f t="shared" ca="1" si="0"/>
        <v>548.62899999999991</v>
      </c>
      <c r="AR55" s="121"/>
      <c r="AS55" s="121"/>
      <c r="AT55" s="121"/>
      <c r="AU55" s="121"/>
      <c r="AV55" s="122"/>
      <c r="AW55" s="120">
        <f ca="1">ROUNDUP(AC55*120/3600,3)</f>
        <v>3.0000000000000002E-2</v>
      </c>
      <c r="AX55" s="121"/>
      <c r="AY55" s="121"/>
      <c r="AZ55" s="121"/>
      <c r="BA55" s="121"/>
      <c r="BB55" s="121"/>
      <c r="BC55" s="122"/>
      <c r="BD55" s="169">
        <f ca="1">AW55+RANDBETWEEN(-5,5)/10000</f>
        <v>3.0500000000000003E-2</v>
      </c>
      <c r="BE55" s="170"/>
      <c r="BF55" s="170"/>
      <c r="BG55" s="170"/>
      <c r="BH55" s="170"/>
      <c r="BI55" s="170"/>
      <c r="BJ55" s="171"/>
      <c r="BK55" s="172">
        <f ca="1">ROUND(((AW55-BD55)/BD55)*100,1)</f>
        <v>-1.6</v>
      </c>
      <c r="BL55" s="189"/>
      <c r="BM55" s="189"/>
      <c r="BN55" s="189"/>
      <c r="BO55" s="189"/>
      <c r="BP55" s="190"/>
      <c r="BQ55" s="103" t="s">
        <v>69</v>
      </c>
      <c r="BR55" s="104"/>
      <c r="BS55" s="85"/>
      <c r="BT55" s="116">
        <v>2</v>
      </c>
      <c r="BU55" s="11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00" t="s">
        <v>215</v>
      </c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0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100"/>
      <c r="AY56" s="100"/>
      <c r="AZ56" s="100"/>
      <c r="BA56" s="100"/>
      <c r="BB56" s="100"/>
      <c r="BC56" s="100"/>
      <c r="BD56" s="100"/>
      <c r="BE56" s="100"/>
      <c r="BF56" s="100"/>
      <c r="BG56" s="100"/>
      <c r="BH56" s="100"/>
      <c r="BI56" s="100"/>
      <c r="BJ56" s="100"/>
      <c r="BK56" s="100"/>
      <c r="BL56" s="100"/>
      <c r="BM56" s="100"/>
      <c r="BN56" s="100"/>
      <c r="BO56" s="100"/>
      <c r="BP56" s="100"/>
      <c r="BQ56" s="100"/>
      <c r="BR56" s="100"/>
      <c r="BS56" s="100"/>
      <c r="BT56" s="100"/>
      <c r="BU56" s="100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92" t="s">
        <v>8</v>
      </c>
      <c r="C59" s="192"/>
      <c r="D59" s="192"/>
      <c r="E59" s="192"/>
      <c r="F59" s="192"/>
      <c r="G59" s="192"/>
      <c r="H59" s="192"/>
      <c r="I59" s="192"/>
      <c r="J59" s="192"/>
      <c r="K59" s="192"/>
      <c r="L59" s="192"/>
      <c r="M59" s="192"/>
      <c r="N59" s="192"/>
      <c r="O59" s="192"/>
      <c r="P59" s="192"/>
      <c r="Q59" s="192"/>
      <c r="R59" s="192"/>
      <c r="S59" s="192"/>
      <c r="T59" s="192"/>
      <c r="U59" s="192"/>
      <c r="V59" s="192"/>
      <c r="W59" s="192"/>
      <c r="X59" s="192"/>
      <c r="Y59" s="192"/>
      <c r="Z59" s="192"/>
      <c r="AA59" s="192"/>
      <c r="AB59" s="192"/>
      <c r="AC59" s="192"/>
      <c r="AD59" s="192"/>
      <c r="AE59" s="192"/>
      <c r="AF59" s="192"/>
      <c r="AG59" s="192"/>
      <c r="AH59" s="192"/>
      <c r="AI59" s="192"/>
      <c r="AJ59" s="192"/>
      <c r="AK59" s="192"/>
      <c r="AL59" s="192"/>
      <c r="AM59" s="192"/>
      <c r="AN59" s="192"/>
      <c r="AO59" s="192"/>
      <c r="AP59" s="192"/>
      <c r="AQ59" s="192"/>
      <c r="AR59" s="192"/>
      <c r="AS59" s="192"/>
      <c r="AT59" s="192"/>
      <c r="AU59" s="192"/>
      <c r="AV59" s="192"/>
      <c r="AW59" s="192"/>
      <c r="AX59" s="192"/>
      <c r="AY59" s="192"/>
      <c r="AZ59" s="192"/>
      <c r="BA59" s="192"/>
      <c r="BB59" s="192"/>
      <c r="BC59" s="192"/>
      <c r="BD59" s="192"/>
      <c r="BE59" s="192"/>
      <c r="BF59" s="192"/>
      <c r="BG59" s="192"/>
      <c r="BH59" s="192"/>
      <c r="BI59" s="192"/>
      <c r="BJ59" s="192"/>
      <c r="BK59" s="192"/>
      <c r="BL59" s="192"/>
      <c r="BM59" s="192"/>
      <c r="BN59" s="192"/>
      <c r="BO59" s="192"/>
      <c r="BP59" s="192"/>
      <c r="BQ59" s="192"/>
      <c r="BR59" s="192"/>
      <c r="BS59" s="192"/>
      <c r="BT59" s="192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87" t="s">
        <v>225</v>
      </c>
      <c r="B61" s="188"/>
      <c r="C61" s="188"/>
      <c r="D61" s="188"/>
      <c r="E61" s="188"/>
      <c r="F61" s="188"/>
      <c r="G61" s="188"/>
      <c r="H61" s="188"/>
      <c r="I61" s="188"/>
      <c r="J61" s="188"/>
      <c r="K61" s="188"/>
      <c r="L61" s="188"/>
      <c r="M61" s="188"/>
      <c r="N61" s="188"/>
      <c r="O61" s="188"/>
      <c r="P61" s="188"/>
      <c r="Q61" s="188"/>
      <c r="R61" s="188"/>
      <c r="S61" s="188"/>
      <c r="T61" s="188"/>
      <c r="U61" s="188"/>
      <c r="V61" s="188"/>
      <c r="W61" s="188"/>
      <c r="X61" s="188"/>
      <c r="Y61" s="188"/>
      <c r="Z61" s="188"/>
      <c r="AA61" s="188"/>
      <c r="AB61" s="188"/>
      <c r="AC61" s="188"/>
      <c r="AD61" s="188"/>
      <c r="AE61" s="188"/>
      <c r="AF61" s="188"/>
      <c r="AG61" s="188"/>
      <c r="AH61" s="188"/>
      <c r="AI61" s="188"/>
      <c r="AJ61" s="188"/>
      <c r="AK61" s="188"/>
      <c r="AL61" s="188"/>
      <c r="AM61" s="188"/>
      <c r="AN61" s="188"/>
      <c r="AO61" s="188"/>
      <c r="AP61" s="188"/>
      <c r="AQ61" s="188"/>
      <c r="AR61" s="188"/>
      <c r="AS61" s="188"/>
      <c r="AT61" s="188"/>
      <c r="AU61" s="188"/>
      <c r="AV61" s="188"/>
      <c r="AW61" s="188"/>
      <c r="AX61" s="188"/>
      <c r="AY61" s="188"/>
      <c r="AZ61" s="188"/>
      <c r="BA61" s="188"/>
      <c r="BB61" s="188"/>
      <c r="BC61" s="188"/>
      <c r="BD61" s="188"/>
      <c r="BE61" s="188"/>
      <c r="BF61" s="188"/>
      <c r="BG61" s="188"/>
      <c r="BH61" s="188"/>
      <c r="BI61" s="188"/>
      <c r="BJ61" s="188"/>
      <c r="BK61" s="188"/>
      <c r="BL61" s="188"/>
      <c r="BM61" s="188"/>
      <c r="BN61" s="188"/>
      <c r="BO61" s="188"/>
      <c r="BP61" s="188"/>
      <c r="BQ61" s="188"/>
      <c r="BR61" s="188"/>
      <c r="BS61" s="188"/>
      <c r="BT61" s="188"/>
      <c r="BU61" s="188"/>
      <c r="BV61" s="188"/>
      <c r="BW61" s="43"/>
      <c r="BX61" s="43"/>
    </row>
    <row r="62" spans="1:76" ht="19.5" customHeight="1" x14ac:dyDescent="0.3">
      <c r="A62" s="188"/>
      <c r="B62" s="188"/>
      <c r="C62" s="188"/>
      <c r="D62" s="188"/>
      <c r="E62" s="188"/>
      <c r="F62" s="188"/>
      <c r="G62" s="188"/>
      <c r="H62" s="188"/>
      <c r="I62" s="188"/>
      <c r="J62" s="188"/>
      <c r="K62" s="188"/>
      <c r="L62" s="188"/>
      <c r="M62" s="188"/>
      <c r="N62" s="188"/>
      <c r="O62" s="188"/>
      <c r="P62" s="188"/>
      <c r="Q62" s="188"/>
      <c r="R62" s="188"/>
      <c r="S62" s="188"/>
      <c r="T62" s="188"/>
      <c r="U62" s="188"/>
      <c r="V62" s="188"/>
      <c r="W62" s="188"/>
      <c r="X62" s="188"/>
      <c r="Y62" s="188"/>
      <c r="Z62" s="188"/>
      <c r="AA62" s="188"/>
      <c r="AB62" s="188"/>
      <c r="AC62" s="188"/>
      <c r="AD62" s="188"/>
      <c r="AE62" s="188"/>
      <c r="AF62" s="188"/>
      <c r="AG62" s="188"/>
      <c r="AH62" s="188"/>
      <c r="AI62" s="188"/>
      <c r="AJ62" s="188"/>
      <c r="AK62" s="188"/>
      <c r="AL62" s="188"/>
      <c r="AM62" s="188"/>
      <c r="AN62" s="188"/>
      <c r="AO62" s="188"/>
      <c r="AP62" s="188"/>
      <c r="AQ62" s="188"/>
      <c r="AR62" s="188"/>
      <c r="AS62" s="188"/>
      <c r="AT62" s="188"/>
      <c r="AU62" s="188"/>
      <c r="AV62" s="188"/>
      <c r="AW62" s="188"/>
      <c r="AX62" s="188"/>
      <c r="AY62" s="188"/>
      <c r="AZ62" s="188"/>
      <c r="BA62" s="188"/>
      <c r="BB62" s="188"/>
      <c r="BC62" s="188"/>
      <c r="BD62" s="188"/>
      <c r="BE62" s="188"/>
      <c r="BF62" s="188"/>
      <c r="BG62" s="188"/>
      <c r="BH62" s="188"/>
      <c r="BI62" s="188"/>
      <c r="BJ62" s="188"/>
      <c r="BK62" s="188"/>
      <c r="BL62" s="188"/>
      <c r="BM62" s="188"/>
      <c r="BN62" s="188"/>
      <c r="BO62" s="188"/>
      <c r="BP62" s="188"/>
      <c r="BQ62" s="188"/>
      <c r="BR62" s="188"/>
      <c r="BS62" s="188"/>
      <c r="BT62" s="188"/>
      <c r="BU62" s="188"/>
      <c r="BV62" s="188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65" t="str">
        <f>Данные!C9</f>
        <v>Стариков С.В.</v>
      </c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93">
        <f>Данные!B10</f>
        <v>45944</v>
      </c>
      <c r="BC64" s="193"/>
      <c r="BD64" s="193"/>
      <c r="BE64" s="193"/>
      <c r="BF64" s="193"/>
      <c r="BG64" s="193"/>
      <c r="BH64" s="193"/>
      <c r="BI64" s="193"/>
      <c r="BJ64" s="193"/>
      <c r="BK64" s="193"/>
      <c r="BL64" s="193"/>
      <c r="BM64" s="193"/>
      <c r="BN64" s="193"/>
      <c r="BO64" s="193"/>
      <c r="BP64" s="193"/>
      <c r="BQ64" s="193"/>
      <c r="BR64" s="193"/>
      <c r="BS64" s="193"/>
      <c r="BT64" s="193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91" t="s">
        <v>10</v>
      </c>
      <c r="J65" s="191"/>
      <c r="K65" s="191"/>
      <c r="L65" s="191"/>
      <c r="M65" s="191"/>
      <c r="N65" s="191"/>
      <c r="O65" s="191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79"/>
      <c r="Y67" s="179"/>
      <c r="Z67" s="179"/>
      <c r="AA67" s="179"/>
      <c r="AB67" s="179"/>
      <c r="AC67" s="179"/>
      <c r="AD67" s="179"/>
      <c r="AE67" s="179"/>
      <c r="AF67" s="179"/>
      <c r="AG67" s="179"/>
      <c r="AH67" s="179"/>
      <c r="AI67" s="179"/>
      <c r="AJ67" s="179"/>
      <c r="AK67" s="179"/>
      <c r="AL67" s="179"/>
      <c r="AM67" s="179"/>
      <c r="AN67" s="179"/>
      <c r="AO67" s="179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X28:BE28"/>
    <mergeCell ref="AX29:BE29"/>
    <mergeCell ref="AX30:BF30"/>
    <mergeCell ref="AX31:BW31"/>
    <mergeCell ref="BK54:BP54"/>
    <mergeCell ref="BD50:BJ52"/>
    <mergeCell ref="AW50:BC52"/>
    <mergeCell ref="AP31:AV31"/>
    <mergeCell ref="AF28:AO28"/>
    <mergeCell ref="AP28:AV28"/>
    <mergeCell ref="AF30:AO30"/>
    <mergeCell ref="AP30:AV30"/>
    <mergeCell ref="AF31:AO31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A29:AE29"/>
    <mergeCell ref="A30:AE30"/>
    <mergeCell ref="A31:AE31"/>
    <mergeCell ref="A28:AE28"/>
    <mergeCell ref="A26:AE27"/>
    <mergeCell ref="AJ50:AV50"/>
    <mergeCell ref="A38:BO39"/>
    <mergeCell ref="A41:BV41"/>
    <mergeCell ref="BQ50:BU52"/>
    <mergeCell ref="BK50:BP52"/>
    <mergeCell ref="B48:U52"/>
    <mergeCell ref="A5:BV5"/>
    <mergeCell ref="A1:BV1"/>
    <mergeCell ref="A2:BV2"/>
    <mergeCell ref="A3:BV3"/>
    <mergeCell ref="A4:BV4"/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tabSelected="1" zoomScale="91" zoomScaleNormal="91" workbookViewId="0">
      <selection activeCell="B13" sqref="B10:B13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235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2015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234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236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237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45944</v>
      </c>
      <c r="C10" s="13"/>
      <c r="D10" s="13"/>
      <c r="E10" s="13"/>
    </row>
    <row r="11" spans="1:21" ht="18" x14ac:dyDescent="0.35">
      <c r="A11" s="11" t="s">
        <v>15</v>
      </c>
      <c r="B11" s="76">
        <v>22.3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57.1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107.8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4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4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45948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2025-10-18T12:08:18Z</cp:lastPrinted>
  <dcterms:created xsi:type="dcterms:W3CDTF">2015-01-22T18:16:29Z</dcterms:created>
  <dcterms:modified xsi:type="dcterms:W3CDTF">2025-10-18T12:13:51Z</dcterms:modified>
</cp:coreProperties>
</file>