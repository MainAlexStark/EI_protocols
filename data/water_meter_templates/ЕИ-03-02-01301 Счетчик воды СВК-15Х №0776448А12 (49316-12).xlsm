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664CA071-4A7C-48B6-8089-5883840F5E1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1" i="3" l="1"/>
  <c r="A6" i="2" s="1"/>
  <c r="AC61" i="2"/>
  <c r="AC60" i="2"/>
  <c r="AC59" i="2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<sst xmlns="http://schemas.openxmlformats.org/spreadsheetml/2006/main" count="505" uniqueCount="272">
  <si>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</si>
  <si>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</si>
  <si>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</si>
  <si>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</si>
  <si>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</si>
  <si>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</si>
  <si>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</si>
  <si>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</si>
  <si>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</si>
  <si>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</si>
  <si>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</si>
  <si>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</si>
  <si>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</si>
  <si>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</si>
  <si>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</si>
  <si>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</si>
  <si>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</si>
  <si>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</si>
  <si>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</si>
  <si>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</si>
  <si>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</si>
  <si>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</si>
  <si>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</si>
  <si>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</si>
  <si>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</si>
  <si>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</si>
  <si>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</si>
  <si>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</si>
  <si>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</si>
  <si>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</si>
  <si>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</si>
  <si>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</si>
  <si>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</si>
  <si>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</si>
  <si>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</si>
  <si>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</si>
  <si>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</si>
  <si>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</si>
  <si>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</si>
  <si>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</si>
  <si>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</si>
  <si>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</si>
  <si>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</si>
  <si>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</si>
  <si>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</si>
  <si>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</si>
  <si>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</si>
  <si>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</si>
  <si>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</si>
  <si>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</si>
  <si>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</si>
  <si>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</si>
  <si>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</si>
  <si>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</si>
  <si>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</si>
  <si>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</si>
  <si>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</si>
  <si>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</si>
  <si>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</si>
  <si>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</si>
  <si>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</si>
  <si>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</si>
  <si>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</si>
  <si>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</si>
  <si>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</si>
  <si>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</si>
  <si>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</si>
  <si>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</si>
  <si>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</si>
  <si>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</si>
  <si>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</si>
  <si>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</si>
  <si>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</si>
  <si>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</si>
  <si>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</si>
  <si>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</si>
  <si>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</si>
  <si>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</si>
  <si>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</si>
  <si>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</si>
  <si>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</si>
  <si>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</si>
  <si>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</si>
  <si>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</si>
  <si>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</si>
  <si>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</si>
  <si>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</si>
  <si>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</si>
  <si>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</si>
  <si>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</si>
  <si>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</si>
  <si>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</si>
  <si>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</si>
  <si>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</si>
  <si>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</si>
  <si>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</si>
  <si>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</si>
  <si>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</si>
  <si>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</si>
  <si>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</si>
  <si>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</si>
  <si>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</si>
  <si>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</si>
  <si>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</si>
  <si>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</si>
  <si>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</si>
  <si>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</si>
  <si>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</si>
  <si>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</si>
  <si>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</si>
  <si>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</si>
  <si>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</si>
  <si>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</si>
  <si>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</si>
  <si>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</si>
  <si>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</si>
  <si>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</si>
  <si>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</si>
  <si>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</si>
  <si>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</si>
  <si>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</si>
  <si>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</si>
  <si>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</si>
  <si>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</si>
  <si>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</si>
  <si>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</si>
  <si>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</si>
  <si>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</si>
  <si>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</si>
  <si>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</si>
  <si>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</si>
  <si>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</si>
  <si>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</si>
  <si>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</si>
  <si>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</si>
  <si>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</si>
  <si>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</si>
  <si>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</si>
  <si>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</si>
  <si>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</si>
  <si>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</si>
  <si>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</si>
  <si>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</si>
  <si>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</si>
  <si>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</si>
  <si>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</si>
  <si>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</si>
  <si>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</si>
  <si>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</si>
  <si>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</si>
  <si>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</si>
  <si>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</si>
  <si>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</si>
  <si>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</si>
  <si>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</si>
  <si>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</si>
  <si>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</si>
  <si>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</si>
  <si>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</si>
  <si>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</si>
  <si>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</si>
  <si>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</si>
  <si>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</si>
  <si>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</si>
  <si>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</si>
  <si>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</si>
  <si>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</si>
  <si>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</si>
  <si>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</si>
  <si>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</si>
  <si>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</si>
  <si>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</si>
  <si>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</si>
  <si>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</si>
  <si>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</si>
  <si>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</si>
  <si>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</si>
  <si>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</si>
  <si>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</si>
  <si>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</si>
  <si>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</si>
  <si>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</si>
  <si>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</si>
  <si>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</si>
  <si>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</si>
  <si>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</si>
  <si>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</si>
  <si>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</si>
  <si>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</si>
  <si>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</si>
  <si>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</si>
  <si>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</si>
  <si>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</si>
  <si>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</si>
  <si>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</si>
  <si>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</si>
  <si>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</si>
  <si>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</si>
  <si>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</si>
  <si>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</si>
  <si>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</si>
  <si>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</si>
  <si>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</si>
  <si>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</si>
  <si>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</si>
  <si>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</si>
  <si>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</si>
  <si>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</si>
  <si>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</si>
  <si>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</si>
  <si>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</si>
  <si>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</si>
  <si>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</si>
  <si>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</si>
  <si>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</si>
  <si>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</si>
  <si>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</si>
  <si>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</si>
  <si>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</si>
  <si>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</si>
  <si>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</si>
  <si>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</si>
  <si>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</si>
  <si>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</si>
  <si>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</si>
  <si>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</si>
  <si>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</si>
  <si>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</si>
  <si>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</si>
  <si>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</si>
  <si>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</si>
  <si>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</si>
  <si>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</si>
  <si>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</si>
  <si>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</si>
  <si>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</si>
  <si>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</si>
  <si>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</si>
  <si>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</si>
  <si>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</si>
  <si>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</si>
  <si>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</si>
  <si>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</si>
  <si>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</si>
  <si>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</si>
  <si>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</si>
  <si>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</si>
  <si>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</si>
  <si>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</si>
  <si>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</si>
  <si>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</si>
  <si>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</si>
  <si>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</si>
  <si>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</si>
  <si>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</si>
  <si>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</si>
  <si>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</si>
  <si>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</si>
  <si>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</si>
  <si>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</si>
  <si>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</si>
  <si>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</si>
  <si>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</si>
  <si>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</si>
  <si>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</si>
  <si>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</si>
  <si>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</si>
  <si>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01301</t>
  </si>
  <si>
    <t>390,876</t>
  </si>
  <si>
    <t>г.Киров, ул.Красный химик 2-17</t>
  </si>
  <si>
    <t>0776448А12</t>
  </si>
  <si>
    <t>СВК-15Г (6 лет) Геррида 49316-12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</si>
</sst>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ont="1" applyAlignment="1">
      <alignment horizontal="center" wrapText="1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4" tableBorderDxfId="13">
  <autoFilter ref="K52:W118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№ЕИ-04/02-01301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20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СВК-15Г, год изготовления 2012, заводской № 0776448А12</v>
      </c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  <c r="BX6" s="43"/>
    </row>
    <row r="7" spans="1:89" s="60" customFormat="1" ht="15.75" customHeight="1" x14ac:dyDescent="0.3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#REF!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ул.Красный химик 2-17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#REF!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#REF!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#REF!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#REF!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#REF!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#REF!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8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8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7">
        <f>Данные!B10</f>
        <v>23.6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7">
        <f ca="1">AF28+(RANDBETWEEN(-26,53)/10)</f>
        <v>22.1</v>
      </c>
      <c r="AQ28" s="109"/>
      <c r="AR28" s="109"/>
      <c r="AS28" s="109"/>
      <c r="AT28" s="109"/>
      <c r="AU28" s="109"/>
      <c r="AV28" s="110"/>
      <c r="AW28" s="63"/>
      <c r="AX28" s="199" t="s">
        <v>95</v>
      </c>
      <c r="AY28" s="199"/>
      <c r="AZ28" s="199"/>
      <c r="BA28" s="199"/>
      <c r="BB28" s="199"/>
      <c r="BC28" s="199"/>
      <c r="BD28" s="199"/>
      <c r="BE28" s="1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3">
        <f>Данные!B11</f>
        <v>61.8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3">
        <f ca="1">AF29+(RANDBETWEEN(43,97)/10)</f>
        <v>70.7</v>
      </c>
      <c r="AQ29" s="109"/>
      <c r="AR29" s="109"/>
      <c r="AS29" s="109"/>
      <c r="AT29" s="109"/>
      <c r="AU29" s="109"/>
      <c r="AV29" s="110"/>
      <c r="AW29" s="63"/>
      <c r="AX29" s="199" t="s">
        <v>96</v>
      </c>
      <c r="AY29" s="199"/>
      <c r="AZ29" s="199"/>
      <c r="BA29" s="199"/>
      <c r="BB29" s="199"/>
      <c r="BC29" s="199"/>
      <c r="BD29" s="199"/>
      <c r="BE29" s="1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3">
        <f>Данные!B12</f>
        <v>104.5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4">
        <f>AF30</f>
        <v>104.5</v>
      </c>
      <c r="AQ30" s="195"/>
      <c r="AR30" s="195"/>
      <c r="AS30" s="195"/>
      <c r="AT30" s="195"/>
      <c r="AU30" s="195"/>
      <c r="AV30" s="196"/>
      <c r="AW30" s="63"/>
      <c r="AX30" s="199" t="s">
        <v>97</v>
      </c>
      <c r="AY30" s="199"/>
      <c r="AZ30" s="199"/>
      <c r="BA30" s="199"/>
      <c r="BB30" s="199"/>
      <c r="BC30" s="199"/>
      <c r="BD30" s="199"/>
      <c r="BE30" s="199"/>
      <c r="BF30" s="1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3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3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0" t="s">
        <v>81</v>
      </c>
      <c r="AY31" s="200"/>
      <c r="AZ31" s="200"/>
      <c r="BA31" s="200"/>
      <c r="BB31" s="200"/>
      <c r="BC31" s="200"/>
      <c r="BD31" s="200"/>
      <c r="BE31" s="200"/>
      <c r="BF31" s="200"/>
      <c r="BG31" s="200"/>
      <c r="BH31" s="200"/>
      <c r="BI31" s="200"/>
      <c r="BJ31" s="200"/>
      <c r="BK31" s="200"/>
      <c r="BL31" s="200"/>
      <c r="BM31" s="200"/>
      <c r="BN31" s="200"/>
      <c r="BO31" s="200"/>
      <c r="BP31" s="200"/>
      <c r="BQ31" s="200"/>
      <c r="BR31" s="200"/>
      <c r="BS31" s="200"/>
      <c r="BT31" s="200"/>
      <c r="BU31" s="200"/>
      <c r="BV31" s="200"/>
      <c r="BW31" s="2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e">
        <f>INDEX(Данные!$K$53:$W$117,Данные!K51,2)</f>
        <v>#REF!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1" t="s">
        <v>3</v>
      </c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2"/>
      <c r="AI48" s="122"/>
      <c r="AJ48" s="122"/>
      <c r="AK48" s="122"/>
      <c r="AL48" s="122"/>
      <c r="AM48" s="122"/>
      <c r="AN48" s="122"/>
      <c r="AO48" s="122"/>
      <c r="AP48" s="122"/>
      <c r="AQ48" s="122"/>
      <c r="AR48" s="122"/>
      <c r="AS48" s="122"/>
      <c r="AT48" s="122"/>
      <c r="AU48" s="122"/>
      <c r="AV48" s="122"/>
      <c r="AW48" s="122"/>
      <c r="AX48" s="122"/>
      <c r="AY48" s="122"/>
      <c r="AZ48" s="122"/>
      <c r="BA48" s="122"/>
      <c r="BB48" s="122"/>
      <c r="BC48" s="122"/>
      <c r="BD48" s="122"/>
      <c r="BE48" s="122"/>
      <c r="BF48" s="122"/>
      <c r="BG48" s="122"/>
      <c r="BH48" s="122"/>
      <c r="BI48" s="122"/>
      <c r="BJ48" s="122"/>
      <c r="BK48" s="122"/>
      <c r="BL48" s="122"/>
      <c r="BM48" s="122"/>
      <c r="BN48" s="122"/>
      <c r="BO48" s="122"/>
      <c r="BP48" s="122"/>
      <c r="BQ48" s="122"/>
      <c r="BR48" s="122"/>
      <c r="BS48" s="122"/>
      <c r="BT48" s="122"/>
      <c r="BU48" s="123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4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6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6" t="s">
        <v>4</v>
      </c>
      <c r="W50" s="157"/>
      <c r="X50" s="157"/>
      <c r="Y50" s="157"/>
      <c r="Z50" s="157"/>
      <c r="AA50" s="157"/>
      <c r="AB50" s="158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59"/>
      <c r="W51" s="160"/>
      <c r="X51" s="160"/>
      <c r="Y51" s="160"/>
      <c r="Z51" s="160"/>
      <c r="AA51" s="160"/>
      <c r="AB51" s="161"/>
      <c r="AC51" s="89"/>
      <c r="AD51" s="89"/>
      <c r="AE51" s="89"/>
      <c r="AF51" s="89"/>
      <c r="AG51" s="89"/>
      <c r="AH51" s="89"/>
      <c r="AI51" s="89"/>
      <c r="AJ51" s="156" t="s">
        <v>85</v>
      </c>
      <c r="AK51" s="157"/>
      <c r="AL51" s="157"/>
      <c r="AM51" s="157"/>
      <c r="AN51" s="157"/>
      <c r="AO51" s="157"/>
      <c r="AP51" s="158"/>
      <c r="AQ51" s="156" t="s">
        <v>86</v>
      </c>
      <c r="AR51" s="157"/>
      <c r="AS51" s="157"/>
      <c r="AT51" s="157"/>
      <c r="AU51" s="157"/>
      <c r="AV51" s="158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2"/>
      <c r="W52" s="163"/>
      <c r="X52" s="163"/>
      <c r="Y52" s="163"/>
      <c r="Z52" s="163"/>
      <c r="AA52" s="163"/>
      <c r="AB52" s="164"/>
      <c r="AC52" s="89"/>
      <c r="AD52" s="89"/>
      <c r="AE52" s="89"/>
      <c r="AF52" s="89"/>
      <c r="AG52" s="89"/>
      <c r="AH52" s="89"/>
      <c r="AI52" s="89"/>
      <c r="AJ52" s="162"/>
      <c r="AK52" s="163"/>
      <c r="AL52" s="163"/>
      <c r="AM52" s="163"/>
      <c r="AN52" s="163"/>
      <c r="AO52" s="163"/>
      <c r="AP52" s="164"/>
      <c r="AQ52" s="162"/>
      <c r="AR52" s="163"/>
      <c r="AS52" s="163"/>
      <c r="AT52" s="163"/>
      <c r="AU52" s="163"/>
      <c r="AV52" s="164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69" t="s">
        <v>73</v>
      </c>
      <c r="C53" s="170"/>
      <c r="D53" s="170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1"/>
      <c r="V53" s="133" t="s">
        <v>91</v>
      </c>
      <c r="W53" s="134"/>
      <c r="X53" s="134"/>
      <c r="Y53" s="134"/>
      <c r="Z53" s="134"/>
      <c r="AA53" s="134"/>
      <c r="AB53" s="135"/>
      <c r="AC53" s="142">
        <f ca="1">IF($V$53="В",ROUND(RANDBETWEEN(30,33)/1000,3),IF($V$53="А",ROUND(RANDBETWEEN(60,66)/1000,3),"буква"))</f>
        <v>3.2000000000000001E-2</v>
      </c>
      <c r="AD53" s="143"/>
      <c r="AE53" s="143"/>
      <c r="AF53" s="143"/>
      <c r="AG53" s="143"/>
      <c r="AH53" s="143"/>
      <c r="AI53" s="144"/>
      <c r="AJ53" s="187" t="str">
        <f>Данные!B5</f>
        <v>390,876</v>
      </c>
      <c r="AK53" s="148"/>
      <c r="AL53" s="148"/>
      <c r="AM53" s="148"/>
      <c r="AN53" s="148"/>
      <c r="AO53" s="148"/>
      <c r="AP53" s="149"/>
      <c r="AQ53" s="142">
        <f t="shared" ref="AQ53:AQ61" ca="1" si="0">AJ53+AW53</f>
        <v>390.88299999999998</v>
      </c>
      <c r="AR53" s="143"/>
      <c r="AS53" s="143"/>
      <c r="AT53" s="143"/>
      <c r="AU53" s="143"/>
      <c r="AV53" s="144"/>
      <c r="AW53" s="142">
        <f ca="1">ROUNDUP(AC53*720/3600,3)</f>
        <v>7.0000000000000001E-3</v>
      </c>
      <c r="AX53" s="143"/>
      <c r="AY53" s="143"/>
      <c r="AZ53" s="143"/>
      <c r="BA53" s="143"/>
      <c r="BB53" s="143"/>
      <c r="BC53" s="144"/>
      <c r="BD53" s="130">
        <f ca="1">AW53+RANDBETWEEN(-2,3)/10000</f>
        <v>7.3000000000000001E-3</v>
      </c>
      <c r="BE53" s="167"/>
      <c r="BF53" s="167"/>
      <c r="BG53" s="167"/>
      <c r="BH53" s="167"/>
      <c r="BI53" s="167"/>
      <c r="BJ53" s="168"/>
      <c r="BK53" s="145">
        <f t="shared" ref="BK53:BK55" ca="1" si="1">ROUND(((AW53-BD53)/BD53)*100,1)</f>
        <v>-4.0999999999999996</v>
      </c>
      <c r="BL53" s="146"/>
      <c r="BM53" s="146"/>
      <c r="BN53" s="146"/>
      <c r="BO53" s="146"/>
      <c r="BP53" s="147"/>
      <c r="BQ53" s="180" t="s">
        <v>69</v>
      </c>
      <c r="BR53" s="98"/>
      <c r="BS53" s="98"/>
      <c r="BT53" s="192">
        <v>5</v>
      </c>
      <c r="BU53" s="99"/>
      <c r="BV53" s="43"/>
      <c r="BW53" s="43"/>
      <c r="BX53" s="43"/>
    </row>
    <row r="54" spans="1:76" ht="20.25" customHeight="1" x14ac:dyDescent="0.3">
      <c r="A54" s="43"/>
      <c r="B54" s="172"/>
      <c r="C54" s="173"/>
      <c r="D54" s="173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4"/>
      <c r="V54" s="136"/>
      <c r="W54" s="137"/>
      <c r="X54" s="137"/>
      <c r="Y54" s="137"/>
      <c r="Z54" s="137"/>
      <c r="AA54" s="137"/>
      <c r="AB54" s="138"/>
      <c r="AC54" s="142">
        <f ca="1">IF($V$53="В",ROUND(RANDBETWEEN(30,33)/1000,3),IF($V$53="А",ROUND(RANDBETWEEN(60,66)/1000,3),"буква"))</f>
        <v>3.3000000000000002E-2</v>
      </c>
      <c r="AD54" s="143"/>
      <c r="AE54" s="143"/>
      <c r="AF54" s="143"/>
      <c r="AG54" s="143"/>
      <c r="AH54" s="143"/>
      <c r="AI54" s="144"/>
      <c r="AJ54" s="142">
        <f ca="1">AQ53+RANDBETWEEN(1,3)/1000</f>
        <v>390.88499999999999</v>
      </c>
      <c r="AK54" s="143"/>
      <c r="AL54" s="143"/>
      <c r="AM54" s="143"/>
      <c r="AN54" s="143"/>
      <c r="AO54" s="143"/>
      <c r="AP54" s="144"/>
      <c r="AQ54" s="142">
        <f t="shared" ca="1" si="0"/>
        <v>390.892</v>
      </c>
      <c r="AR54" s="143"/>
      <c r="AS54" s="143"/>
      <c r="AT54" s="143"/>
      <c r="AU54" s="143"/>
      <c r="AV54" s="144"/>
      <c r="AW54" s="142">
        <f ca="1">ROUNDUP(AC54*720/3600,3)</f>
        <v>7.0000000000000001E-3</v>
      </c>
      <c r="AX54" s="143"/>
      <c r="AY54" s="143"/>
      <c r="AZ54" s="143"/>
      <c r="BA54" s="143"/>
      <c r="BB54" s="143"/>
      <c r="BC54" s="144"/>
      <c r="BD54" s="130">
        <f ca="1">AW54+RANDBETWEEN(-2,3)/10000</f>
        <v>7.1999999999999998E-3</v>
      </c>
      <c r="BE54" s="167"/>
      <c r="BF54" s="167"/>
      <c r="BG54" s="167"/>
      <c r="BH54" s="167"/>
      <c r="BI54" s="167"/>
      <c r="BJ54" s="168"/>
      <c r="BK54" s="145">
        <f t="shared" ca="1" si="1"/>
        <v>-2.8</v>
      </c>
      <c r="BL54" s="146"/>
      <c r="BM54" s="146"/>
      <c r="BN54" s="146"/>
      <c r="BO54" s="146"/>
      <c r="BP54" s="147"/>
      <c r="BQ54" s="181"/>
      <c r="BR54" s="182"/>
      <c r="BS54" s="182"/>
      <c r="BT54" s="182"/>
      <c r="BU54" s="102"/>
      <c r="BV54" s="43"/>
      <c r="BW54" s="43"/>
      <c r="BX54" s="43"/>
    </row>
    <row r="55" spans="1:76" ht="18" customHeight="1" x14ac:dyDescent="0.3">
      <c r="A55" s="43"/>
      <c r="B55" s="175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7"/>
      <c r="V55" s="136"/>
      <c r="W55" s="137"/>
      <c r="X55" s="137"/>
      <c r="Y55" s="137"/>
      <c r="Z55" s="137"/>
      <c r="AA55" s="137"/>
      <c r="AB55" s="138"/>
      <c r="AC55" s="142">
        <f t="shared" ref="AC55" ca="1" si="2">IF($V$53="В",ROUND(RANDBETWEEN(30,33)/1000,3),IF($V$53="А",ROUND(RANDBETWEEN(60,66)/1000,3),"буква"))</f>
        <v>3.2000000000000001E-2</v>
      </c>
      <c r="AD55" s="143"/>
      <c r="AE55" s="143"/>
      <c r="AF55" s="143"/>
      <c r="AG55" s="143"/>
      <c r="AH55" s="143"/>
      <c r="AI55" s="144"/>
      <c r="AJ55" s="187">
        <f ca="1">AQ54+RANDBETWEEN(1,3)/1000</f>
        <v>390.89400000000001</v>
      </c>
      <c r="AK55" s="148"/>
      <c r="AL55" s="148"/>
      <c r="AM55" s="148"/>
      <c r="AN55" s="148"/>
      <c r="AO55" s="148"/>
      <c r="AP55" s="149"/>
      <c r="AQ55" s="142">
        <f t="shared" ca="1" si="0"/>
        <v>390.90100000000001</v>
      </c>
      <c r="AR55" s="143"/>
      <c r="AS55" s="143"/>
      <c r="AT55" s="143"/>
      <c r="AU55" s="143"/>
      <c r="AV55" s="144"/>
      <c r="AW55" s="142">
        <f t="shared" ref="AW55" ca="1" si="3">ROUNDUP(AC55*720/3600,3)</f>
        <v>7.0000000000000001E-3</v>
      </c>
      <c r="AX55" s="143"/>
      <c r="AY55" s="143"/>
      <c r="AZ55" s="143"/>
      <c r="BA55" s="143"/>
      <c r="BB55" s="143"/>
      <c r="BC55" s="144"/>
      <c r="BD55" s="130">
        <f ca="1">AW55+RANDBETWEEN(-2,3)/10000</f>
        <v>7.3000000000000001E-3</v>
      </c>
      <c r="BE55" s="167"/>
      <c r="BF55" s="167"/>
      <c r="BG55" s="167"/>
      <c r="BH55" s="167"/>
      <c r="BI55" s="167"/>
      <c r="BJ55" s="168"/>
      <c r="BK55" s="145">
        <f t="shared" ca="1" si="1"/>
        <v>-4.0999999999999996</v>
      </c>
      <c r="BL55" s="146"/>
      <c r="BM55" s="146"/>
      <c r="BN55" s="146"/>
      <c r="BO55" s="146"/>
      <c r="BP55" s="147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69" t="s">
        <v>220</v>
      </c>
      <c r="C56" s="170"/>
      <c r="D56" s="170"/>
      <c r="E56" s="170"/>
      <c r="F56" s="170"/>
      <c r="G56" s="170"/>
      <c r="H56" s="170"/>
      <c r="I56" s="170"/>
      <c r="J56" s="170"/>
      <c r="K56" s="170"/>
      <c r="L56" s="170"/>
      <c r="M56" s="170"/>
      <c r="N56" s="170"/>
      <c r="O56" s="170"/>
      <c r="P56" s="170"/>
      <c r="Q56" s="170"/>
      <c r="R56" s="170"/>
      <c r="S56" s="170"/>
      <c r="T56" s="170"/>
      <c r="U56" s="171"/>
      <c r="V56" s="136"/>
      <c r="W56" s="137"/>
      <c r="X56" s="137"/>
      <c r="Y56" s="137"/>
      <c r="Z56" s="137"/>
      <c r="AA56" s="137"/>
      <c r="AB56" s="138"/>
      <c r="AC56" s="142">
        <f ca="1">IF($V$53="А",ROUND(RANDBETWEEN(155,175)/1000,3),IF($V$53="В",ROUND(RANDBETWEEN(125,135)/1000,3),"буква"))</f>
        <v>0.13400000000000001</v>
      </c>
      <c r="AD56" s="143"/>
      <c r="AE56" s="143"/>
      <c r="AF56" s="143"/>
      <c r="AG56" s="143"/>
      <c r="AH56" s="143"/>
      <c r="AI56" s="144"/>
      <c r="AJ56" s="127">
        <f ca="1">AQ55+RANDBETWEEN(4,7)/1000</f>
        <v>390.90800000000002</v>
      </c>
      <c r="AK56" s="148"/>
      <c r="AL56" s="148"/>
      <c r="AM56" s="148"/>
      <c r="AN56" s="148"/>
      <c r="AO56" s="148"/>
      <c r="AP56" s="149"/>
      <c r="AQ56" s="142">
        <f t="shared" ca="1" si="0"/>
        <v>390.92200000000003</v>
      </c>
      <c r="AR56" s="143"/>
      <c r="AS56" s="143"/>
      <c r="AT56" s="143"/>
      <c r="AU56" s="143"/>
      <c r="AV56" s="144"/>
      <c r="AW56" s="142">
        <f ca="1">ROUNDUP(AC56*360/3600,3)</f>
        <v>1.3999999999999999E-2</v>
      </c>
      <c r="AX56" s="143"/>
      <c r="AY56" s="143"/>
      <c r="AZ56" s="143"/>
      <c r="BA56" s="143"/>
      <c r="BB56" s="143"/>
      <c r="BC56" s="144"/>
      <c r="BD56" s="130">
        <f ca="1">AW56+RANDBETWEEN(-2,2)/10000</f>
        <v>1.4199999999999999E-2</v>
      </c>
      <c r="BE56" s="167"/>
      <c r="BF56" s="167"/>
      <c r="BG56" s="167"/>
      <c r="BH56" s="167"/>
      <c r="BI56" s="167"/>
      <c r="BJ56" s="168"/>
      <c r="BK56" s="145">
        <f ca="1">ROUND(((AW56-BD56)/BD56)*100,1)</f>
        <v>-1.4</v>
      </c>
      <c r="BL56" s="146"/>
      <c r="BM56" s="146"/>
      <c r="BN56" s="146"/>
      <c r="BO56" s="146"/>
      <c r="BP56" s="147"/>
      <c r="BQ56" s="180" t="s">
        <v>69</v>
      </c>
      <c r="BR56" s="98"/>
      <c r="BS56" s="98"/>
      <c r="BT56" s="192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2"/>
      <c r="C57" s="173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4"/>
      <c r="V57" s="136"/>
      <c r="W57" s="137"/>
      <c r="X57" s="137"/>
      <c r="Y57" s="137"/>
      <c r="Z57" s="137"/>
      <c r="AA57" s="137"/>
      <c r="AB57" s="138"/>
      <c r="AC57" s="142">
        <f ca="1">IF($V$53="А",ROUND(RANDBETWEEN(155,175)/1000,3),IF($V$53="В",ROUND(RANDBETWEEN(125,135)/1000,3),"буква"))</f>
        <v>0.127</v>
      </c>
      <c r="AD57" s="143"/>
      <c r="AE57" s="143"/>
      <c r="AF57" s="143"/>
      <c r="AG57" s="143"/>
      <c r="AH57" s="143"/>
      <c r="AI57" s="144"/>
      <c r="AJ57" s="127">
        <f t="shared" ref="AJ57:AJ58" ca="1" si="4">AQ56+RANDBETWEEN(4,7)/1000</f>
        <v>390.92600000000004</v>
      </c>
      <c r="AK57" s="148"/>
      <c r="AL57" s="148"/>
      <c r="AM57" s="148"/>
      <c r="AN57" s="148"/>
      <c r="AO57" s="148"/>
      <c r="AP57" s="149"/>
      <c r="AQ57" s="142">
        <f t="shared" ca="1" si="0"/>
        <v>390.93900000000002</v>
      </c>
      <c r="AR57" s="143"/>
      <c r="AS57" s="143"/>
      <c r="AT57" s="143"/>
      <c r="AU57" s="143"/>
      <c r="AV57" s="144"/>
      <c r="AW57" s="142">
        <f ca="1">ROUNDUP(AC57*360/3600,3)</f>
        <v>1.3000000000000001E-2</v>
      </c>
      <c r="AX57" s="143"/>
      <c r="AY57" s="143"/>
      <c r="AZ57" s="143"/>
      <c r="BA57" s="143"/>
      <c r="BB57" s="143"/>
      <c r="BC57" s="144"/>
      <c r="BD57" s="130">
        <f ca="1">AW57+RANDBETWEEN(-2,2)/10000</f>
        <v>1.3000000000000001E-2</v>
      </c>
      <c r="BE57" s="167"/>
      <c r="BF57" s="167"/>
      <c r="BG57" s="167"/>
      <c r="BH57" s="167"/>
      <c r="BI57" s="167"/>
      <c r="BJ57" s="168"/>
      <c r="BK57" s="145">
        <f t="shared" ref="BK57:BK58" ca="1" si="5">ROUND(((AW57-BD57)/BD57)*100,1)</f>
        <v>0</v>
      </c>
      <c r="BL57" s="146"/>
      <c r="BM57" s="146"/>
      <c r="BN57" s="146"/>
      <c r="BO57" s="146"/>
      <c r="BP57" s="147"/>
      <c r="BQ57" s="181"/>
      <c r="BR57" s="182"/>
      <c r="BS57" s="182"/>
      <c r="BT57" s="182"/>
      <c r="BU57" s="102"/>
      <c r="BV57" s="43"/>
      <c r="BW57" s="43"/>
      <c r="BX57" s="43"/>
    </row>
    <row r="58" spans="1:76" s="60" customFormat="1" ht="18" customHeight="1" x14ac:dyDescent="0.3">
      <c r="A58" s="43"/>
      <c r="B58" s="175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7"/>
      <c r="V58" s="136"/>
      <c r="W58" s="137"/>
      <c r="X58" s="137"/>
      <c r="Y58" s="137"/>
      <c r="Z58" s="137"/>
      <c r="AA58" s="137"/>
      <c r="AB58" s="138"/>
      <c r="AC58" s="142">
        <f ca="1">IF($V$53="А",ROUND(RANDBETWEEN(155,175)/1000,3),IF($V$53="В",ROUND(RANDBETWEEN(125,135)/1000,3),"буква"))</f>
        <v>0.13100000000000001</v>
      </c>
      <c r="AD58" s="143"/>
      <c r="AE58" s="143"/>
      <c r="AF58" s="143"/>
      <c r="AG58" s="143"/>
      <c r="AH58" s="143"/>
      <c r="AI58" s="144"/>
      <c r="AJ58" s="127">
        <f t="shared" ca="1" si="4"/>
        <v>390.94300000000004</v>
      </c>
      <c r="AK58" s="148"/>
      <c r="AL58" s="148"/>
      <c r="AM58" s="148"/>
      <c r="AN58" s="148"/>
      <c r="AO58" s="148"/>
      <c r="AP58" s="149"/>
      <c r="AQ58" s="142">
        <f t="shared" ca="1" si="0"/>
        <v>390.95700000000005</v>
      </c>
      <c r="AR58" s="143"/>
      <c r="AS58" s="143"/>
      <c r="AT58" s="143"/>
      <c r="AU58" s="143"/>
      <c r="AV58" s="144"/>
      <c r="AW58" s="142">
        <f ca="1">ROUNDUP(AC58*360/3600,3)</f>
        <v>1.3999999999999999E-2</v>
      </c>
      <c r="AX58" s="143"/>
      <c r="AY58" s="143"/>
      <c r="AZ58" s="143"/>
      <c r="BA58" s="143"/>
      <c r="BB58" s="143"/>
      <c r="BC58" s="144"/>
      <c r="BD58" s="130">
        <f ca="1">AW58+RANDBETWEEN(-2,2)/10000</f>
        <v>1.3799999999999998E-2</v>
      </c>
      <c r="BE58" s="167"/>
      <c r="BF58" s="167"/>
      <c r="BG58" s="167"/>
      <c r="BH58" s="167"/>
      <c r="BI58" s="167"/>
      <c r="BJ58" s="168"/>
      <c r="BK58" s="145">
        <f t="shared" ca="1" si="5"/>
        <v>1.4</v>
      </c>
      <c r="BL58" s="146"/>
      <c r="BM58" s="146"/>
      <c r="BN58" s="146"/>
      <c r="BO58" s="146"/>
      <c r="BP58" s="147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69" t="s">
        <v>74</v>
      </c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1"/>
      <c r="V59" s="136"/>
      <c r="W59" s="137"/>
      <c r="X59" s="137"/>
      <c r="Y59" s="137"/>
      <c r="Z59" s="137"/>
      <c r="AA59" s="137"/>
      <c r="AB59" s="138"/>
      <c r="AC59" s="127">
        <f ca="1">ROUND(RANDBETWEEN(890,960)/1000,3)</f>
        <v>0.90300000000000002</v>
      </c>
      <c r="AD59" s="128"/>
      <c r="AE59" s="128"/>
      <c r="AF59" s="128"/>
      <c r="AG59" s="128"/>
      <c r="AH59" s="128"/>
      <c r="AI59" s="129"/>
      <c r="AJ59" s="152">
        <f ca="1">AQ58+RANDBETWEEN(15,18)/1000</f>
        <v>390.97400000000005</v>
      </c>
      <c r="AK59" s="153"/>
      <c r="AL59" s="153"/>
      <c r="AM59" s="153"/>
      <c r="AN59" s="153"/>
      <c r="AO59" s="153"/>
      <c r="AP59" s="154"/>
      <c r="AQ59" s="188">
        <f ca="1">AJ59+AW59</f>
        <v>391.00500000000005</v>
      </c>
      <c r="AR59" s="189"/>
      <c r="AS59" s="189"/>
      <c r="AT59" s="189"/>
      <c r="AU59" s="189"/>
      <c r="AV59" s="190"/>
      <c r="AW59" s="142">
        <f ca="1">ROUNDUP(AC59*120/3600,3)</f>
        <v>3.1E-2</v>
      </c>
      <c r="AX59" s="150"/>
      <c r="AY59" s="150"/>
      <c r="AZ59" s="150"/>
      <c r="BA59" s="150"/>
      <c r="BB59" s="150"/>
      <c r="BC59" s="151"/>
      <c r="BD59" s="130">
        <f ca="1">AW59+RANDBETWEEN(-5,5)/10000</f>
        <v>3.0800000000000001E-2</v>
      </c>
      <c r="BE59" s="131"/>
      <c r="BF59" s="131"/>
      <c r="BG59" s="131"/>
      <c r="BH59" s="131"/>
      <c r="BI59" s="131"/>
      <c r="BJ59" s="132"/>
      <c r="BK59" s="145">
        <f ca="1">ROUND(((AW59-BD59)/BD59)*100,1)</f>
        <v>0.6</v>
      </c>
      <c r="BL59" s="178"/>
      <c r="BM59" s="178"/>
      <c r="BN59" s="178"/>
      <c r="BO59" s="178"/>
      <c r="BP59" s="179"/>
      <c r="BQ59" s="180" t="s">
        <v>69</v>
      </c>
      <c r="BR59" s="98"/>
      <c r="BS59" s="98"/>
      <c r="BT59" s="192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2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4"/>
      <c r="V60" s="136"/>
      <c r="W60" s="137"/>
      <c r="X60" s="137"/>
      <c r="Y60" s="137"/>
      <c r="Z60" s="137"/>
      <c r="AA60" s="137"/>
      <c r="AB60" s="138"/>
      <c r="AC60" s="127">
        <f ca="1">ROUND(RANDBETWEEN(890,960)/1000,3)</f>
        <v>0.89800000000000002</v>
      </c>
      <c r="AD60" s="128"/>
      <c r="AE60" s="128"/>
      <c r="AF60" s="128"/>
      <c r="AG60" s="128"/>
      <c r="AH60" s="128"/>
      <c r="AI60" s="129"/>
      <c r="AJ60" s="127">
        <f t="shared" ref="AJ60" ca="1" si="6">AQ59+RANDBETWEEN(15,18)/1000</f>
        <v>391.02200000000005</v>
      </c>
      <c r="AK60" s="148"/>
      <c r="AL60" s="148"/>
      <c r="AM60" s="148"/>
      <c r="AN60" s="148"/>
      <c r="AO60" s="148"/>
      <c r="AP60" s="149"/>
      <c r="AQ60" s="142">
        <f t="shared" ca="1" si="0"/>
        <v>391.05200000000002</v>
      </c>
      <c r="AR60" s="143"/>
      <c r="AS60" s="143"/>
      <c r="AT60" s="143"/>
      <c r="AU60" s="143"/>
      <c r="AV60" s="144"/>
      <c r="AW60" s="142">
        <f t="shared" ref="AW60:AW61" ca="1" si="7">ROUNDUP(AC60*120/3600,3)</f>
        <v>3.0000000000000002E-2</v>
      </c>
      <c r="AX60" s="150"/>
      <c r="AY60" s="150"/>
      <c r="AZ60" s="150"/>
      <c r="BA60" s="150"/>
      <c r="BB60" s="150"/>
      <c r="BC60" s="151"/>
      <c r="BD60" s="130">
        <f ca="1">AW60+RANDBETWEEN(-5,5)/10000</f>
        <v>3.0400000000000003E-2</v>
      </c>
      <c r="BE60" s="131"/>
      <c r="BF60" s="131"/>
      <c r="BG60" s="131"/>
      <c r="BH60" s="131"/>
      <c r="BI60" s="131"/>
      <c r="BJ60" s="132"/>
      <c r="BK60" s="145">
        <f ca="1">ROUND(((AW60-BD60)/BD60)*100,1)</f>
        <v>-1.3</v>
      </c>
      <c r="BL60" s="178"/>
      <c r="BM60" s="178"/>
      <c r="BN60" s="178"/>
      <c r="BO60" s="178"/>
      <c r="BP60" s="179"/>
      <c r="BQ60" s="181"/>
      <c r="BR60" s="182"/>
      <c r="BS60" s="182"/>
      <c r="BT60" s="182"/>
      <c r="BU60" s="102"/>
      <c r="BV60" s="43"/>
      <c r="BW60" s="43"/>
      <c r="BX60" s="43"/>
    </row>
    <row r="61" spans="1:76" s="60" customFormat="1" ht="18" customHeight="1" x14ac:dyDescent="0.3">
      <c r="A61" s="43"/>
      <c r="B61" s="175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7"/>
      <c r="V61" s="139"/>
      <c r="W61" s="140"/>
      <c r="X61" s="140"/>
      <c r="Y61" s="140"/>
      <c r="Z61" s="140"/>
      <c r="AA61" s="140"/>
      <c r="AB61" s="141"/>
      <c r="AC61" s="127">
        <f ca="1">ROUND(RANDBETWEEN(890,960)/1000,3)</f>
        <v>0.95299999999999996</v>
      </c>
      <c r="AD61" s="128"/>
      <c r="AE61" s="128"/>
      <c r="AF61" s="128"/>
      <c r="AG61" s="128"/>
      <c r="AH61" s="128"/>
      <c r="AI61" s="129"/>
      <c r="AJ61" s="91">
        <f ca="1">AQ60+RANDBETWEEN(15,18)/1000</f>
        <v>391.07</v>
      </c>
      <c r="AK61" s="92"/>
      <c r="AL61" s="92"/>
      <c r="AM61" s="92"/>
      <c r="AN61" s="92"/>
      <c r="AO61" s="92"/>
      <c r="AP61" s="93"/>
      <c r="AQ61" s="191">
        <f t="shared" ca="1" si="0"/>
        <v>391.10199999999998</v>
      </c>
      <c r="AR61" s="150"/>
      <c r="AS61" s="150"/>
      <c r="AT61" s="150"/>
      <c r="AU61" s="150"/>
      <c r="AV61" s="151"/>
      <c r="AW61" s="142">
        <f t="shared" ca="1" si="7"/>
        <v>3.2000000000000001E-2</v>
      </c>
      <c r="AX61" s="150"/>
      <c r="AY61" s="150"/>
      <c r="AZ61" s="150"/>
      <c r="BA61" s="150"/>
      <c r="BB61" s="150"/>
      <c r="BC61" s="151"/>
      <c r="BD61" s="130">
        <f ca="1">AW61+RANDBETWEEN(-5,5)/10000</f>
        <v>3.1800000000000002E-2</v>
      </c>
      <c r="BE61" s="131"/>
      <c r="BF61" s="131"/>
      <c r="BG61" s="131"/>
      <c r="BH61" s="131"/>
      <c r="BI61" s="131"/>
      <c r="BJ61" s="132"/>
      <c r="BK61" s="145">
        <f ca="1">ROUND(((AW61-BD61)/BD61)*100,1)</f>
        <v>0.6</v>
      </c>
      <c r="BL61" s="178"/>
      <c r="BM61" s="178"/>
      <c r="BN61" s="178"/>
      <c r="BO61" s="178"/>
      <c r="BP61" s="179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4" t="s">
        <v>8</v>
      </c>
      <c r="C64" s="184"/>
      <c r="D64" s="184"/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  <c r="AL64" s="184"/>
      <c r="AM64" s="184"/>
      <c r="AN64" s="184"/>
      <c r="AO64" s="184"/>
      <c r="AP64" s="184"/>
      <c r="AQ64" s="184"/>
      <c r="AR64" s="184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  <c r="BD64" s="184"/>
      <c r="BE64" s="184"/>
      <c r="BF64" s="184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5" t="s">
        <v>229</v>
      </c>
      <c r="B66" s="166"/>
      <c r="C66" s="166"/>
      <c r="D66" s="166"/>
      <c r="E66" s="166"/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43"/>
      <c r="BX66" s="43"/>
    </row>
    <row r="67" spans="1:76" ht="19.5" customHeight="1" x14ac:dyDescent="0.3">
      <c r="A67" s="166"/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  <c r="AP67" s="166"/>
      <c r="AQ67" s="166"/>
      <c r="AR67" s="166"/>
      <c r="AS67" s="166"/>
      <c r="AT67" s="166"/>
      <c r="AU67" s="166"/>
      <c r="AV67" s="16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6" t="str">
        <f>Данные!C8</f>
        <v>Стариков С.В.</v>
      </c>
      <c r="W69" s="186"/>
      <c r="X69" s="186"/>
      <c r="Y69" s="186"/>
      <c r="Z69" s="186"/>
      <c r="AA69" s="186"/>
      <c r="AB69" s="186"/>
      <c r="AC69" s="186"/>
      <c r="AD69" s="186"/>
      <c r="AE69" s="186"/>
      <c r="AF69" s="186"/>
      <c r="AG69" s="186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5">
        <f>Данные!B9</f>
        <v>45945</v>
      </c>
      <c r="BC69" s="185"/>
      <c r="BD69" s="185"/>
      <c r="BE69" s="185"/>
      <c r="BF69" s="185"/>
      <c r="BG69" s="185"/>
      <c r="BH69" s="185"/>
      <c r="BI69" s="185"/>
      <c r="BJ69" s="185"/>
      <c r="BK69" s="185"/>
      <c r="BL69" s="185"/>
      <c r="BM69" s="185"/>
      <c r="BN69" s="185"/>
      <c r="BO69" s="185"/>
      <c r="BP69" s="185"/>
      <c r="BQ69" s="185"/>
      <c r="BR69" s="185"/>
      <c r="BS69" s="185"/>
      <c r="BT69" s="185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3" t="s">
        <v>10</v>
      </c>
      <c r="J70" s="183"/>
      <c r="K70" s="183"/>
      <c r="L70" s="183"/>
      <c r="M70" s="183"/>
      <c r="N70" s="183"/>
      <c r="O70" s="183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5"/>
      <c r="Y72" s="155"/>
      <c r="Z72" s="155"/>
      <c r="AA72" s="155"/>
      <c r="AB72" s="155"/>
      <c r="AC72" s="155"/>
      <c r="AD72" s="155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271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268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2" t="s">
        <v>41</v>
      </c>
      <c r="E7" s="202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2" t="s">
        <v>107</v>
      </c>
      <c r="E8" s="202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23.6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61.8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45953</v>
      </c>
      <c r="B16" s="20"/>
      <c r="C16" s="13"/>
      <c r="D16" s="13"/>
      <c r="E16" s="13"/>
    </row>
    <row r="17" spans="1:24" ht="21" x14ac:dyDescent="0.4">
      <c r="B17" s="21"/>
      <c r="C17" s="203"/>
      <c r="D17" s="203"/>
      <c r="E17" s="203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66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ht="20.399999999999999" x14ac:dyDescent="0.3">
      <c r="K118" s="68" t="s">
        <v>271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224</v>
      </c>
      <c r="W118" s="68" t="s">
        <v>113</v>
      </c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1"/>
    </row>
    <row r="162" spans="1:24" x14ac:dyDescent="0.3">
      <c r="X162" s="201"/>
    </row>
    <row r="163" spans="1:24" x14ac:dyDescent="0.3">
      <c r="X163" s="201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1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1"/>
    </row>
    <row r="166" spans="1:24" x14ac:dyDescent="0.3">
      <c r="X166" s="201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2025-10-23T14:46:07Z</dcterms:modified>
</cp:coreProperties>
</file>