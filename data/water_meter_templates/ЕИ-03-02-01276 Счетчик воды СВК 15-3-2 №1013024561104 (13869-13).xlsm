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8_{797B1C50-5A6C-4D3D-B62A-F077662F67F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<sst xmlns="http://schemas.openxmlformats.org/spreadsheetml/2006/main" count="499" uniqueCount="271">
  <si>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</si>
  <si>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</si>
  <si>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</si>
  <si>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</si>
  <si>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</si>
  <si>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</si>
  <si>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</si>
  <si>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</si>
  <si>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</si>
  <si>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</si>
  <si>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</si>
  <si>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</si>
  <si>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</si>
  <si>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</si>
  <si>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</si>
  <si>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</si>
  <si>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</si>
  <si>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</si>
  <si>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</si>
  <si>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</si>
  <si>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</si>
  <si>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</si>
  <si>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</si>
  <si>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</si>
  <si>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</si>
  <si>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</si>
  <si>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</si>
  <si>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</si>
  <si>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</si>
  <si>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</si>
  <si>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</si>
  <si>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</si>
  <si>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</si>
  <si>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</si>
  <si>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</si>
  <si>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</si>
  <si>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</si>
  <si>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</si>
  <si>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</si>
  <si>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</si>
  <si>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</si>
  <si>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</si>
  <si>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</si>
  <si>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</si>
  <si>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</si>
  <si>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</si>
  <si>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</si>
  <si>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</si>
  <si>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</si>
  <si>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</si>
  <si>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</si>
  <si>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</si>
  <si>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</si>
  <si>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</si>
  <si>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</si>
  <si>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</si>
  <si>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</si>
  <si>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</si>
  <si>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</si>
  <si>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</si>
  <si>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</si>
  <si>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</si>
  <si>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</si>
  <si>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</si>
  <si>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</si>
  <si>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</si>
  <si>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</si>
  <si>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</si>
  <si>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</si>
  <si>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</si>
  <si>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</si>
  <si>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</si>
  <si>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</si>
  <si>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</si>
  <si>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</si>
  <si>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</si>
  <si>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</si>
  <si>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</si>
  <si>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</si>
  <si>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</si>
  <si>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</si>
  <si>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</si>
  <si>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</si>
  <si>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</si>
  <si>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</si>
  <si>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</si>
  <si>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</si>
  <si>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</si>
  <si>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</si>
  <si>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</si>
  <si>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</si>
  <si>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</si>
  <si>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</si>
  <si>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</si>
  <si>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</si>
  <si>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</si>
  <si>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</si>
  <si>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</si>
  <si>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</si>
  <si>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</si>
  <si>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</si>
  <si>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</si>
  <si>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</si>
  <si>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</si>
  <si>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</si>
  <si>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</si>
  <si>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</si>
  <si>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</si>
  <si>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</si>
  <si>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</si>
  <si>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</si>
  <si>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</si>
  <si>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</si>
  <si>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</si>
  <si>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</si>
  <si>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</si>
  <si>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</si>
  <si>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</si>
  <si>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</si>
  <si>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</si>
  <si>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</si>
  <si>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</si>
  <si>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</si>
  <si>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</si>
  <si>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</si>
  <si>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</si>
  <si>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</si>
  <si>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</si>
  <si>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</si>
  <si>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</si>
  <si>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</si>
  <si>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</si>
  <si>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</si>
  <si>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</si>
  <si>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</si>
  <si>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</si>
  <si>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</si>
  <si>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</si>
  <si>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</si>
  <si>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</si>
  <si>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</si>
  <si>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</si>
  <si>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</si>
  <si>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</si>
  <si>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</si>
  <si>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</si>
  <si>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</si>
  <si>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</si>
  <si>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</si>
  <si>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</si>
  <si>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</si>
  <si>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</si>
  <si>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</si>
  <si>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</si>
  <si>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</si>
  <si>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</si>
  <si>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</si>
  <si>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</si>
  <si>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</si>
  <si>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</si>
  <si>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</si>
  <si>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</si>
  <si>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</si>
  <si>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</si>
  <si>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</si>
  <si>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</si>
  <si>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</si>
  <si>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</si>
  <si>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</si>
  <si>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</si>
  <si>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</si>
  <si>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</si>
  <si>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</si>
  <si>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</si>
  <si>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</si>
  <si>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</si>
  <si>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</si>
  <si>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</si>
  <si>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</si>
  <si>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</si>
  <si>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</si>
  <si>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</si>
  <si>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</si>
  <si>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</si>
  <si>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</si>
  <si>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</si>
  <si>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</si>
  <si>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</si>
  <si>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</si>
  <si>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</si>
  <si>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</si>
  <si>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</si>
  <si>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</si>
  <si>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</si>
  <si>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</si>
  <si>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</si>
  <si>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</si>
  <si>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</si>
  <si>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</si>
  <si>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</si>
  <si>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</si>
  <si>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</si>
  <si>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</si>
  <si>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</si>
  <si>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</si>
  <si>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</si>
  <si>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</si>
  <si>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</si>
  <si>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</si>
  <si>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</si>
  <si>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</si>
  <si>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</si>
  <si>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</si>
  <si>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</si>
  <si>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</si>
  <si>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</si>
  <si>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</si>
  <si>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</si>
  <si>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</si>
  <si>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</si>
  <si>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</si>
  <si>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</si>
  <si>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</si>
  <si>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</si>
  <si>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</si>
  <si>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</si>
  <si>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</si>
  <si>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</si>
  <si>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</si>
  <si>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</si>
  <si>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</si>
  <si>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</si>
  <si>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</si>
  <si>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</si>
  <si>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</si>
  <si>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</si>
  <si>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</si>
  <si>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</si>
  <si>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</si>
  <si>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</si>
  <si>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</si>
  <si>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</si>
  <si>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</si>
  <si>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</si>
  <si>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</si>
  <si>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</si>
  <si>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</si>
  <si>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</si>
  <si>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</si>
  <si>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</si>
  <si>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</si>
  <si>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</si>
  <si>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</si>
  <si>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</si>
  <si>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</si>
  <si>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</si>
  <si>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</si>
  <si>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</si>
  <si>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</si>
  <si>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</si>
  <si>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</si>
  <si>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</si>
  <si>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</si>
  <si>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</si>
  <si>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</si>
  <si>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</si>
  <si>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</si>
  <si>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1013024561104</t>
  </si>
  <si>
    <t>01276</t>
  </si>
  <si>
    <t>г.Яранск, ул.Лагуновская 26а-16</t>
  </si>
  <si>
    <t>176,902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</si>
</sst>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6" tableBorderDxfId="15">
  <autoFilter ref="K52:W117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№ЕИ-04/02-01276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 15-3-2, год изготовления 2013, заводской № 1013024561104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г.Яранск, ул.Лагуновская 26а-16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21.6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20.6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58.5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68.099999999999994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106.3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106.3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60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60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«ГСИ. Счетчики холодной и горячей воды крыльчатые типа СВК. Методика поверки» ЛГФИ.407223.003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3.1E-2</v>
      </c>
      <c r="AD53" s="124"/>
      <c r="AE53" s="124"/>
      <c r="AF53" s="124"/>
      <c r="AG53" s="124"/>
      <c r="AH53" s="124"/>
      <c r="AI53" s="125"/>
      <c r="AJ53" s="122" t="str">
        <f>Данные!B5</f>
        <v>176,902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176.90899999999999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6.8999999999999999E-3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1.4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176.91199999999998</v>
      </c>
      <c r="AK54" s="124"/>
      <c r="AL54" s="124"/>
      <c r="AM54" s="124"/>
      <c r="AN54" s="124"/>
      <c r="AO54" s="124"/>
      <c r="AP54" s="125"/>
      <c r="AQ54" s="123">
        <f t="shared" ca="1" si="0"/>
        <v>176.91899999999998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6.8000000000000005E-3</v>
      </c>
      <c r="BE54" s="136"/>
      <c r="BF54" s="136"/>
      <c r="BG54" s="136"/>
      <c r="BH54" s="136"/>
      <c r="BI54" s="136"/>
      <c r="BJ54" s="137"/>
      <c r="BK54" s="132">
        <f t="shared" ca="1" si="1"/>
        <v>2.9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3.1E-2</v>
      </c>
      <c r="AD55" s="124"/>
      <c r="AE55" s="124"/>
      <c r="AF55" s="124"/>
      <c r="AG55" s="124"/>
      <c r="AH55" s="124"/>
      <c r="AI55" s="125"/>
      <c r="AJ55" s="122">
        <f ca="1">AQ54+RANDBETWEEN(1,3)/1000</f>
        <v>176.92199999999997</v>
      </c>
      <c r="AK55" s="120"/>
      <c r="AL55" s="120"/>
      <c r="AM55" s="120"/>
      <c r="AN55" s="120"/>
      <c r="AO55" s="120"/>
      <c r="AP55" s="121"/>
      <c r="AQ55" s="123">
        <f t="shared" ca="1" si="0"/>
        <v>176.92899999999997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6.8000000000000005E-3</v>
      </c>
      <c r="BE55" s="136"/>
      <c r="BF55" s="136"/>
      <c r="BG55" s="136"/>
      <c r="BH55" s="136"/>
      <c r="BI55" s="136"/>
      <c r="BJ55" s="137"/>
      <c r="BK55" s="132">
        <f t="shared" ca="1" si="1"/>
        <v>2.9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0.13300000000000001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176.93499999999997</v>
      </c>
      <c r="AK56" s="120"/>
      <c r="AL56" s="120"/>
      <c r="AM56" s="120"/>
      <c r="AN56" s="120"/>
      <c r="AO56" s="120"/>
      <c r="AP56" s="121"/>
      <c r="AQ56" s="123">
        <f t="shared" ca="1" si="0"/>
        <v>176.94899999999998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1.4199999999999999E-2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-1.4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0.127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176.95499999999998</v>
      </c>
      <c r="AK57" s="120"/>
      <c r="AL57" s="120"/>
      <c r="AM57" s="120"/>
      <c r="AN57" s="120"/>
      <c r="AO57" s="120"/>
      <c r="AP57" s="121"/>
      <c r="AQ57" s="123">
        <f t="shared" ca="1" si="0"/>
        <v>176.96799999999999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1.2800000000000001E-2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1.6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0.129</v>
      </c>
      <c r="AD58" s="124"/>
      <c r="AE58" s="124"/>
      <c r="AF58" s="124"/>
      <c r="AG58" s="124"/>
      <c r="AH58" s="124"/>
      <c r="AI58" s="125"/>
      <c r="AJ58" s="119">
        <f t="shared" ca="1" si="4"/>
        <v>176.97399999999999</v>
      </c>
      <c r="AK58" s="120"/>
      <c r="AL58" s="120"/>
      <c r="AM58" s="120"/>
      <c r="AN58" s="120"/>
      <c r="AO58" s="120"/>
      <c r="AP58" s="121"/>
      <c r="AQ58" s="123">
        <f t="shared" ca="1" si="0"/>
        <v>176.98699999999999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1.3100000000000001E-2</v>
      </c>
      <c r="BE58" s="136"/>
      <c r="BF58" s="136"/>
      <c r="BG58" s="136"/>
      <c r="BH58" s="136"/>
      <c r="BI58" s="136"/>
      <c r="BJ58" s="137"/>
      <c r="BK58" s="132">
        <f t="shared" ca="1" si="5"/>
        <v>-0.8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0.92300000000000004</v>
      </c>
      <c r="AD59" s="158"/>
      <c r="AE59" s="158"/>
      <c r="AF59" s="158"/>
      <c r="AG59" s="158"/>
      <c r="AH59" s="158"/>
      <c r="AI59" s="159"/>
      <c r="AJ59" s="174">
        <f ca="1">AQ58+RANDBETWEEN(15,18)/1000</f>
        <v>177.005</v>
      </c>
      <c r="AK59" s="175"/>
      <c r="AL59" s="175"/>
      <c r="AM59" s="175"/>
      <c r="AN59" s="175"/>
      <c r="AO59" s="175"/>
      <c r="AP59" s="176"/>
      <c r="AQ59" s="126">
        <f ca="1">AJ59+AW59</f>
        <v>177.036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3.0599999999999999E-2</v>
      </c>
      <c r="BE59" s="160"/>
      <c r="BF59" s="160"/>
      <c r="BG59" s="160"/>
      <c r="BH59" s="160"/>
      <c r="BI59" s="160"/>
      <c r="BJ59" s="161"/>
      <c r="BK59" s="132">
        <f ca="1">ROUND(((AW59-BD59)/BD59)*100,1)</f>
        <v>1.3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0.95899999999999996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177.053</v>
      </c>
      <c r="AK60" s="120"/>
      <c r="AL60" s="120"/>
      <c r="AM60" s="120"/>
      <c r="AN60" s="120"/>
      <c r="AO60" s="120"/>
      <c r="AP60" s="121"/>
      <c r="AQ60" s="123">
        <f t="shared" ca="1" si="0"/>
        <v>177.08500000000001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3.2300000000000002E-2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-0.9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0.89300000000000002</v>
      </c>
      <c r="AD61" s="158"/>
      <c r="AE61" s="158"/>
      <c r="AF61" s="158"/>
      <c r="AG61" s="158"/>
      <c r="AH61" s="158"/>
      <c r="AI61" s="159"/>
      <c r="AJ61" s="171">
        <f ca="1">AQ60+RANDBETWEEN(15,18)/1000</f>
        <v>177.10300000000001</v>
      </c>
      <c r="AK61" s="172"/>
      <c r="AL61" s="172"/>
      <c r="AM61" s="172"/>
      <c r="AN61" s="172"/>
      <c r="AO61" s="172"/>
      <c r="AP61" s="173"/>
      <c r="AQ61" s="129">
        <f t="shared" ca="1" si="0"/>
        <v>177.13300000000001</v>
      </c>
      <c r="AR61" s="130"/>
      <c r="AS61" s="130"/>
      <c r="AT61" s="130"/>
      <c r="AU61" s="130"/>
      <c r="AV61" s="131"/>
      <c r="AW61" s="123">
        <f t="shared" ca="1" si="7"/>
        <v>3.0000000000000002E-2</v>
      </c>
      <c r="AX61" s="130"/>
      <c r="AY61" s="130"/>
      <c r="AZ61" s="130"/>
      <c r="BA61" s="130"/>
      <c r="BB61" s="130"/>
      <c r="BC61" s="131"/>
      <c r="BD61" s="135">
        <f ca="1">AW61+RANDBETWEEN(-5,5)/10000</f>
        <v>2.9700000000000001E-2</v>
      </c>
      <c r="BE61" s="160"/>
      <c r="BF61" s="160"/>
      <c r="BG61" s="160"/>
      <c r="BH61" s="160"/>
      <c r="BI61" s="160"/>
      <c r="BJ61" s="161"/>
      <c r="BK61" s="132">
        <f ca="1">ROUND(((AW61-BD61)/BD61)*100,1)</f>
        <v>1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45943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267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45943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58.5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106.3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60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2025-10-18T10:42:57Z</cp:lastPrinted>
  <dcterms:created xsi:type="dcterms:W3CDTF">2015-01-22T18:16:29Z</dcterms:created>
  <dcterms:modified xsi:type="dcterms:W3CDTF">2025-10-18T10:43:36Z</dcterms:modified>
</cp:coreProperties>
</file>