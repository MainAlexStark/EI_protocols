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МОЯ\Протоколы ЕИ\Результаты поверки !!!!!\Протоколы Стариков\2025\"/>
    </mc:Choice>
  </mc:AlternateContent>
  <xr:revisionPtr revIDLastSave="0" documentId="8_{3566A152-C902-4FF7-A37C-E9ED40AC8919}" xr6:coauthVersionLast="37" xr6:coauthVersionMax="37" xr10:uidLastSave="{00000000-0000-0000-0000-000000000000}"/>
  <bookViews>
    <workbookView xWindow="0" yWindow="0" windowWidth="23040" windowHeight="9060" xr2:uid="{00000000-000D-0000-FFFF-FFFF00000000}"/>
  </bookViews>
  <sheets>
    <sheet name="Протокол" sheetId="2" r:id="rId1"/>
    <sheet name="Данные" sheetId="3" r:id="rId2"/>
  </sheets>
  <calcPr calcId="179021" iterateDelta="1E-4"/>
</workbook>
</file>

<file path=xl/calcChain.xml><?xml version="1.0" encoding="utf-8"?>
<calcChain xmlns="http://schemas.openxmlformats.org/spreadsheetml/2006/main">
  <c r="AC55" i="2" l="1"/>
  <c r="AJ53" i="2" l="1"/>
  <c r="D56" i="2"/>
  <c r="AC53" i="2"/>
  <c r="AC54" i="2" l="1"/>
  <c r="K52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W53" i="2"/>
  <c r="AQ53" i="2" s="1"/>
  <c r="AJ54" i="2" s="1"/>
  <c r="AF29" i="2"/>
  <c r="AP29" i="2" s="1"/>
  <c r="AF30" i="2"/>
  <c r="AP30" i="2" s="1"/>
  <c r="AW55" i="2"/>
  <c r="BD55" i="2" s="1"/>
  <c r="AW54" i="2"/>
  <c r="AP31" i="2"/>
  <c r="AF31" i="2"/>
  <c r="A9" i="2"/>
  <c r="A35" i="2"/>
  <c r="A10" i="2"/>
  <c r="V64" i="2"/>
  <c r="A17" i="3"/>
  <c r="BB64" i="2"/>
  <c r="AQ54" i="2" l="1"/>
  <c r="AJ55" i="2" s="1"/>
  <c r="AQ55" i="2" s="1"/>
  <c r="BD54" i="2"/>
  <c r="BK54" i="2" s="1"/>
  <c r="BK55" i="2"/>
  <c r="BD53" i="2"/>
  <c r="BK53" i="2" s="1"/>
</calcChain>
</file>

<file path=xl/sharedStrings.xml><?xml version="1.0" encoding="utf-8"?>
<sst xmlns="http://schemas.openxmlformats.org/spreadsheetml/2006/main" count="407" uniqueCount="238">
  <si>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</si>
  <si>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</si>
  <si>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</si>
  <si>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</si>
  <si>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</si>
  <si>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</si>
  <si>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</si>
  <si>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</si>
  <si>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</si>
  <si>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</si>
  <si>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</si>
  <si>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</si>
  <si>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</si>
  <si>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</si>
  <si>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</si>
  <si>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</si>
  <si>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</si>
  <si>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</si>
  <si>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</si>
  <si>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</si>
  <si>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</si>
  <si>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</si>
  <si>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</si>
  <si>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</si>
  <si>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</si>
  <si>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</si>
  <si>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</si>
  <si>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</si>
  <si>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</si>
  <si>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</si>
  <si>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</si>
  <si>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</si>
  <si>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</si>
  <si>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</si>
  <si>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</si>
  <si>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</si>
  <si>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</si>
  <si>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</si>
  <si>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</si>
  <si>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</si>
  <si>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</si>
  <si>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</si>
  <si>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</si>
  <si>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</si>
  <si>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</si>
  <si>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</si>
  <si>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</si>
  <si>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</si>
  <si>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</si>
  <si>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</si>
  <si>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</si>
  <si>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</si>
  <si>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</si>
  <si>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</si>
  <si>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</si>
  <si>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</si>
  <si>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</si>
  <si>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</si>
  <si>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</si>
  <si>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</si>
  <si>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</si>
  <si>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</si>
  <si>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</si>
  <si>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</si>
  <si>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</si>
  <si>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</si>
  <si>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</si>
  <si>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</si>
  <si>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</si>
  <si>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</si>
  <si>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</si>
  <si>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</si>
  <si>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</si>
  <si>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</si>
  <si>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</si>
  <si>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</si>
  <si>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</si>
  <si>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</si>
  <si>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</si>
  <si>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</si>
  <si>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</si>
  <si>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</si>
  <si>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</si>
  <si>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</si>
  <si>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</si>
  <si>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</si>
  <si>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</si>
  <si>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</si>
  <si>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</si>
  <si>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</si>
  <si>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</si>
  <si>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</si>
  <si>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</si>
  <si>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</si>
  <si>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</si>
  <si>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</si>
  <si>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</si>
  <si>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</si>
  <si>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</si>
  <si>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</si>
  <si>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</si>
  <si>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</si>
  <si>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</si>
  <si>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</si>
  <si>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</si>
  <si>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</si>
  <si>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</si>
  <si>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</si>
  <si>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</si>
  <si>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</si>
  <si>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</si>
  <si>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СВК-15Г 61399-15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</si>
  <si>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</si>
  <si>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</si>
  <si>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</si>
  <si>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</si>
  <si>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</si>
  <si>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</si>
  <si>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</si>
  <si>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</si>
  <si>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</si>
  <si>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</si>
  <si>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</si>
  <si>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</si>
  <si>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</si>
  <si>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</si>
  <si>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</si>
  <si>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</si>
  <si>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</si>
  <si>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</si>
  <si>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</si>
  <si>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</si>
  <si>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</si>
  <si>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</si>
  <si>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</si>
  <si>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</si>
  <si>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</si>
  <si>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«Счетчики воды крыльчатые ОХТА.
Методика поверки» МП 2550-0159-2011</t>
  </si>
  <si>
    <t>ОХТА</t>
  </si>
  <si>
    <t>СВК-15Х 61399-15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</si>
  <si>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</si>
  <si>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</si>
  <si>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</si>
  <si>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</si>
  <si>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</si>
  <si>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</si>
  <si>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</si>
  <si>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</si>
  <si>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</si>
  <si>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</si>
  <si>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</si>
  <si>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</si>
  <si>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</si>
  <si>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</si>
  <si>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</si>
  <si>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</si>
  <si>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</si>
  <si>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</si>
  <si>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</si>
  <si>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</si>
  <si>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</si>
  <si>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</si>
  <si>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</si>
  <si>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</si>
  <si>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</si>
  <si>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</si>
  <si>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</si>
  <si>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</si>
  <si>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</si>
  <si>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</si>
  <si>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</si>
  <si>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</si>
  <si>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</si>
  <si>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</si>
  <si>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</si>
  <si>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</si>
  <si>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</si>
  <si>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</si>
  <si>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</si>
  <si>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</si>
  <si>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</si>
  <si>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</si>
  <si>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</si>
  <si>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</si>
  <si>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</si>
  <si>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</si>
  <si>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</si>
  <si>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</si>
  <si>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</si>
  <si>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</si>
  <si>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</si>
  <si>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</si>
  <si>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</si>
  <si>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</si>
  <si>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СВК-15Г 54835-13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</si>
  <si>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</si>
  <si>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</si>
  <si>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</si>
  <si>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</si>
  <si>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</si>
  <si>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</si>
  <si>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</si>
  <si>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</si>
  <si>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СВК-15Х 54835-13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</si>
  <si>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</si>
  <si>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</si>
  <si>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</si>
  <si>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</si>
  <si>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</si>
  <si>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</si>
  <si>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</si>
  <si>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</si>
  <si>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r>
      <t>Vсчет 
(Vij = K*N ij),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</si>
  <si>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</si>
  <si>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K=</t>
  </si>
  <si>
    <t>, где K - 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</si>
  <si>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СВК 20-5-1 13869-13</t>
  </si>
  <si>
    <t>«ГСИ. Счетчики холодной и горячей воды крыльчатые типа СВК. Методика поверки» ЛГФИ.407223.003</t>
  </si>
  <si>
    <t>СВК 20-5-1</t>
  </si>
  <si>
    <t>СВКМ-15Г 57034-14</t>
  </si>
  <si>
    <t>СВКМ-15Г</t>
  </si>
  <si>
    <t>ВДГ-15М 58329-14</t>
  </si>
  <si>
    <t>58329-14</t>
  </si>
  <si>
    <t>ВДГ-15М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</si>
  <si>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</si>
  <si>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</si>
  <si>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СГВ-20 16078-05</t>
  </si>
  <si>
    <t>СГВ-20</t>
  </si>
  <si>
    <t>СХВ-15 16078-00</t>
  </si>
  <si>
    <t>02</t>
  </si>
  <si>
    <t>Стариков С.В.</t>
  </si>
  <si>
    <t>0,00814</t>
  </si>
  <si>
    <t>СГВ-20 16078-13</t>
  </si>
  <si>
    <t>Частное лицо</t>
  </si>
  <si>
    <t>01202</t>
  </si>
  <si>
    <t>40001028</t>
  </si>
  <si>
    <t>59,604</t>
  </si>
  <si>
    <t>ЗАТО Первомайский, ул. Советская, 8-34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</si>
</sst>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3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2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39" fillId="0" borderId="0" xfId="0" applyFont="1"/>
    <xf numFmtId="0" fontId="39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2" fillId="3" borderId="2" xfId="1" applyFill="1" applyBorder="1" applyAlignment="1">
      <alignment wrapText="1"/>
    </xf>
    <xf numFmtId="0" fontId="28" fillId="0" borderId="12" xfId="0" applyFont="1" applyBorder="1" applyAlignment="1">
      <alignment vertical="top"/>
    </xf>
    <xf numFmtId="49" fontId="28" fillId="0" borderId="12" xfId="0" applyNumberFormat="1" applyFont="1" applyBorder="1" applyAlignment="1">
      <alignment vertical="top"/>
    </xf>
    <xf numFmtId="0" fontId="28" fillId="0" borderId="12" xfId="0" applyFont="1" applyBorder="1" applyAlignment="1">
      <alignment horizontal="center" vertical="top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27" fillId="0" borderId="18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49" fontId="27" fillId="0" borderId="2" xfId="0" applyNumberFormat="1" applyFont="1" applyBorder="1" applyAlignment="1">
      <alignment vertical="center"/>
    </xf>
    <xf numFmtId="0" fontId="35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0" xfId="0" applyFont="1" applyBorder="1" applyAlignment="1">
      <alignment vertical="center"/>
    </xf>
    <xf numFmtId="0" fontId="28" fillId="0" borderId="0" xfId="0" applyFont="1" applyBorder="1"/>
    <xf numFmtId="0" fontId="23" fillId="0" borderId="1" xfId="0" applyFont="1" applyBorder="1"/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left" vertical="center" wrapText="1"/>
    </xf>
    <xf numFmtId="165" fontId="27" fillId="0" borderId="17" xfId="0" applyNumberFormat="1" applyFont="1" applyBorder="1" applyAlignment="1">
      <alignment horizontal="center" vertical="center"/>
    </xf>
    <xf numFmtId="165" fontId="27" fillId="0" borderId="18" xfId="0" applyNumberFormat="1" applyFont="1" applyBorder="1" applyAlignment="1">
      <alignment horizontal="center" vertical="center"/>
    </xf>
    <xf numFmtId="165" fontId="27" fillId="0" borderId="19" xfId="0" applyNumberFormat="1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 wrapText="1"/>
    </xf>
    <xf numFmtId="0" fontId="34" fillId="0" borderId="17" xfId="0" applyFont="1" applyBorder="1" applyAlignment="1">
      <alignment horizontal="center"/>
    </xf>
    <xf numFmtId="0" fontId="40" fillId="0" borderId="18" xfId="0" applyFont="1" applyBorder="1"/>
    <xf numFmtId="0" fontId="40" fillId="0" borderId="19" xfId="0" applyFont="1" applyBorder="1"/>
    <xf numFmtId="0" fontId="34" fillId="0" borderId="17" xfId="0" applyFont="1" applyBorder="1" applyAlignment="1">
      <alignment horizontal="center" wrapText="1"/>
    </xf>
    <xf numFmtId="165" fontId="34" fillId="0" borderId="17" xfId="0" applyNumberFormat="1" applyFont="1" applyBorder="1" applyAlignment="1">
      <alignment horizontal="center"/>
    </xf>
    <xf numFmtId="165" fontId="40" fillId="0" borderId="18" xfId="0" applyNumberFormat="1" applyFont="1" applyBorder="1"/>
    <xf numFmtId="165" fontId="40" fillId="0" borderId="19" xfId="0" applyNumberFormat="1" applyFont="1" applyBorder="1"/>
    <xf numFmtId="164" fontId="25" fillId="0" borderId="0" xfId="0" applyNumberFormat="1" applyFont="1" applyBorder="1" applyAlignment="1">
      <alignment horizontal="left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167" fontId="27" fillId="0" borderId="17" xfId="0" applyNumberFormat="1" applyFont="1" applyBorder="1" applyAlignment="1">
      <alignment horizontal="center" vertical="center"/>
    </xf>
    <xf numFmtId="167" fontId="27" fillId="0" borderId="18" xfId="0" applyNumberFormat="1" applyFont="1" applyBorder="1" applyAlignment="1">
      <alignment horizontal="center" vertical="center"/>
    </xf>
    <xf numFmtId="167" fontId="27" fillId="0" borderId="19" xfId="0" applyNumberFormat="1" applyFont="1" applyBorder="1" applyAlignment="1">
      <alignment horizontal="center" vertical="center"/>
    </xf>
    <xf numFmtId="166" fontId="27" fillId="0" borderId="17" xfId="0" applyNumberFormat="1" applyFont="1" applyBorder="1" applyAlignment="1">
      <alignment horizontal="center" vertical="center"/>
    </xf>
    <xf numFmtId="166" fontId="27" fillId="0" borderId="18" xfId="0" applyNumberFormat="1" applyFont="1" applyBorder="1" applyAlignment="1">
      <alignment horizontal="center" vertical="center"/>
    </xf>
    <xf numFmtId="166" fontId="27" fillId="0" borderId="19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27" fillId="0" borderId="18" xfId="0" applyFont="1" applyBorder="1" applyAlignment="1">
      <alignment horizontal="left" vertical="center"/>
    </xf>
    <xf numFmtId="0" fontId="27" fillId="0" borderId="19" xfId="0" applyFont="1" applyBorder="1" applyAlignment="1">
      <alignment horizontal="left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1" fillId="0" borderId="0" xfId="0" applyFont="1" applyBorder="1" applyAlignment="1">
      <alignment horizontal="center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7" fillId="0" borderId="17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0" fontId="31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4" fillId="0" borderId="17" xfId="0" applyFont="1" applyBorder="1" applyAlignment="1">
      <alignment horizontal="left" vertical="center"/>
    </xf>
    <xf numFmtId="0" fontId="34" fillId="0" borderId="17" xfId="0" applyFont="1" applyBorder="1" applyAlignment="1">
      <alignment vertical="center"/>
    </xf>
    <xf numFmtId="0" fontId="40" fillId="0" borderId="18" xfId="0" applyFont="1" applyBorder="1" applyAlignment="1"/>
    <xf numFmtId="0" fontId="40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7" fillId="0" borderId="2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 wrapText="1"/>
    </xf>
    <xf numFmtId="0" fontId="27" fillId="0" borderId="17" xfId="0" applyFont="1" applyBorder="1" applyAlignment="1">
      <alignment horizontal="right" vertical="center"/>
    </xf>
    <xf numFmtId="0" fontId="27" fillId="0" borderId="18" xfId="0" applyFont="1" applyBorder="1" applyAlignment="1">
      <alignment horizontal="right" vertical="center"/>
    </xf>
    <xf numFmtId="0" fontId="28" fillId="0" borderId="17" xfId="0" applyFont="1" applyBorder="1" applyAlignment="1">
      <alignment horizontal="center" vertical="center" wrapText="1"/>
    </xf>
    <xf numFmtId="0" fontId="28" fillId="0" borderId="18" xfId="0" applyFont="1" applyBorder="1" applyAlignment="1">
      <alignment horizontal="center" vertical="center" wrapText="1"/>
    </xf>
    <xf numFmtId="0" fontId="27" fillId="0" borderId="15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166" fontId="27" fillId="0" borderId="2" xfId="0" applyNumberFormat="1" applyFont="1" applyBorder="1" applyAlignment="1">
      <alignment horizontal="center" vertical="center"/>
    </xf>
    <xf numFmtId="49" fontId="27" fillId="0" borderId="2" xfId="0" applyNumberFormat="1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17</xdr:row>
          <xdr:rowOff>22860</xdr:rowOff>
        </xdr:from>
        <xdr:to>
          <xdr:col>1</xdr:col>
          <xdr:colOff>2194560</xdr:colOff>
          <xdr:row>18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15</xdr:row>
          <xdr:rowOff>7620</xdr:rowOff>
        </xdr:from>
        <xdr:to>
          <xdr:col>1</xdr:col>
          <xdr:colOff>2194560</xdr:colOff>
          <xdr:row>17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19</xdr:row>
          <xdr:rowOff>7620</xdr:rowOff>
        </xdr:from>
        <xdr:to>
          <xdr:col>1</xdr:col>
          <xdr:colOff>2194560</xdr:colOff>
          <xdr:row>21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78C1EA-077A-4B6E-B04D-027C94016F8E}" name="Таблица22" displayName="Таблица22" ref="K53:W102" totalsRowShown="0" headerRowBorderDxfId="14" tableBorderDxfId="13">
  <autoFilter ref="K53:W102" xr:uid="{7A55A5C8-AE78-47C5-9E5F-61F0512EFD5C}"/>
  <tableColumns count="13">
    <tableColumn id="1" xr3:uid="{DB2BFEFC-144F-45D1-A0A2-006DB791906C}" name="тип" dataDxfId="12"/>
    <tableColumn id="2" xr3:uid="{ED5E1588-9715-4A54-A0D1-2A49C4AC9AA2}" name="мп" dataDxfId="11"/>
    <tableColumn id="3" xr3:uid="{62A0B04F-6A7B-435B-91ED-AC4579B1553F}" name="min" dataDxfId="10"/>
    <tableColumn id="4" xr3:uid="{4891998B-7F9F-45C9-86C2-4DBE8C6FEEF5}" name="перех А" dataDxfId="9"/>
    <tableColumn id="5" xr3:uid="{3ADB5F24-D79A-4F44-9383-84701A49EA67}" name="перех B" dataDxfId="8"/>
    <tableColumn id="6" xr3:uid="{0DD83C66-9C5E-4238-912C-C82F865402BD}" name="ном" dataDxfId="7"/>
    <tableColumn id="7" xr3:uid="{DA830BFF-5B83-4FFF-9B87-46A49C6C8B31}" name="max" dataDxfId="6"/>
    <tableColumn id="8" xr3:uid="{41977AB7-134F-4FF7-9C55-0D590DE8A678}" name="порг1" dataDxfId="5"/>
    <tableColumn id="9" xr3:uid="{EA650B12-A6F3-4AD9-8592-23C30A8625AD}" name="погр2" dataDxfId="4"/>
    <tableColumn id="10" xr3:uid="{B4B09A14-BE2C-4879-8039-91BA1325B6F6}" name="Столбец1" dataDxfId="3"/>
    <tableColumn id="11" xr3:uid="{7AE7A9EA-5F38-47F8-A80B-404AC2C35340}" name="Столбец2" dataDxfId="2"/>
    <tableColumn id="12" xr3:uid="{1D1F0254-8B7A-45C8-BE57-4722B28C3763}" name="Столбец3" dataDxfId="1"/>
    <tableColumn id="14" xr3:uid="{18716490-9E5C-4B13-B4DC-6E1B4C836F2B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B2172"/>
  <sheetViews>
    <sheetView tabSelected="1" view="pageLayout" topLeftCell="A4" zoomScale="112" zoomScaleNormal="100" zoomScaleSheetLayoutView="200" zoomScalePageLayoutView="112" workbookViewId="0">
      <selection activeCell="Y11" sqref="Y11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0" ht="16.5" customHeight="1" x14ac:dyDescent="0.3">
      <c r="A1" s="181" t="s">
        <v>97</v>
      </c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81"/>
      <c r="AE1" s="181"/>
      <c r="AF1" s="181"/>
      <c r="AG1" s="181"/>
      <c r="AH1" s="181"/>
      <c r="AI1" s="181"/>
      <c r="AJ1" s="181"/>
      <c r="AK1" s="181"/>
      <c r="AL1" s="181"/>
      <c r="AM1" s="181"/>
      <c r="AN1" s="181"/>
      <c r="AO1" s="181"/>
      <c r="AP1" s="181"/>
      <c r="AQ1" s="181"/>
      <c r="AR1" s="181"/>
      <c r="AS1" s="181"/>
      <c r="AT1" s="181"/>
      <c r="AU1" s="181"/>
      <c r="AV1" s="181"/>
      <c r="AW1" s="181"/>
      <c r="AX1" s="181"/>
      <c r="AY1" s="181"/>
      <c r="AZ1" s="181"/>
      <c r="BA1" s="181"/>
      <c r="BB1" s="181"/>
      <c r="BC1" s="181"/>
      <c r="BD1" s="181"/>
      <c r="BE1" s="181"/>
      <c r="BF1" s="181"/>
      <c r="BG1" s="181"/>
      <c r="BH1" s="181"/>
      <c r="BI1" s="181"/>
      <c r="BJ1" s="181"/>
      <c r="BK1" s="181"/>
      <c r="BL1" s="181"/>
      <c r="BM1" s="181"/>
      <c r="BN1" s="181"/>
      <c r="BO1" s="181"/>
      <c r="BP1" s="181"/>
      <c r="BQ1" s="181"/>
      <c r="BR1" s="181"/>
      <c r="BS1" s="181"/>
      <c r="BT1" s="181"/>
      <c r="BU1" s="181"/>
      <c r="BV1" s="181"/>
      <c r="BW1" s="43"/>
      <c r="BX1" s="43"/>
      <c r="BY1" s="91"/>
      <c r="BZ1" s="91"/>
      <c r="CA1" s="91"/>
      <c r="CB1" s="91"/>
    </row>
    <row r="2" spans="1:80" ht="18" customHeight="1" x14ac:dyDescent="0.3">
      <c r="A2" s="181" t="s">
        <v>98</v>
      </c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  <c r="AH2" s="181"/>
      <c r="AI2" s="181"/>
      <c r="AJ2" s="181"/>
      <c r="AK2" s="181"/>
      <c r="AL2" s="181"/>
      <c r="AM2" s="181"/>
      <c r="AN2" s="181"/>
      <c r="AO2" s="181"/>
      <c r="AP2" s="181"/>
      <c r="AQ2" s="181"/>
      <c r="AR2" s="181"/>
      <c r="AS2" s="181"/>
      <c r="AT2" s="181"/>
      <c r="AU2" s="181"/>
      <c r="AV2" s="181"/>
      <c r="AW2" s="181"/>
      <c r="AX2" s="181"/>
      <c r="AY2" s="181"/>
      <c r="AZ2" s="181"/>
      <c r="BA2" s="181"/>
      <c r="BB2" s="181"/>
      <c r="BC2" s="181"/>
      <c r="BD2" s="181"/>
      <c r="BE2" s="181"/>
      <c r="BF2" s="181"/>
      <c r="BG2" s="181"/>
      <c r="BH2" s="181"/>
      <c r="BI2" s="181"/>
      <c r="BJ2" s="181"/>
      <c r="BK2" s="181"/>
      <c r="BL2" s="181"/>
      <c r="BM2" s="181"/>
      <c r="BN2" s="181"/>
      <c r="BO2" s="181"/>
      <c r="BP2" s="181"/>
      <c r="BQ2" s="181"/>
      <c r="BR2" s="181"/>
      <c r="BS2" s="181"/>
      <c r="BT2" s="181"/>
      <c r="BU2" s="181"/>
      <c r="BV2" s="181"/>
      <c r="BW2" s="43"/>
      <c r="BX2" s="43"/>
    </row>
    <row r="3" spans="1:80" ht="18.75" customHeight="1" x14ac:dyDescent="0.3">
      <c r="A3" s="182" t="s">
        <v>100</v>
      </c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  <c r="AX3" s="182"/>
      <c r="AY3" s="182"/>
      <c r="AZ3" s="182"/>
      <c r="BA3" s="182"/>
      <c r="BB3" s="182"/>
      <c r="BC3" s="182"/>
      <c r="BD3" s="182"/>
      <c r="BE3" s="182"/>
      <c r="BF3" s="182"/>
      <c r="BG3" s="182"/>
      <c r="BH3" s="182"/>
      <c r="BI3" s="182"/>
      <c r="BJ3" s="182"/>
      <c r="BK3" s="182"/>
      <c r="BL3" s="182"/>
      <c r="BM3" s="182"/>
      <c r="BN3" s="182"/>
      <c r="BO3" s="182"/>
      <c r="BP3" s="182"/>
      <c r="BQ3" s="182"/>
      <c r="BR3" s="182"/>
      <c r="BS3" s="182"/>
      <c r="BT3" s="182"/>
      <c r="BU3" s="182"/>
      <c r="BV3" s="182"/>
      <c r="BW3" s="43"/>
      <c r="BX3" s="43"/>
    </row>
    <row r="4" spans="1:80" x14ac:dyDescent="0.3">
      <c r="A4" s="182" t="s">
        <v>99</v>
      </c>
      <c r="B4" s="182"/>
      <c r="C4" s="182"/>
      <c r="D4" s="182"/>
      <c r="E4" s="182"/>
      <c r="F4" s="182"/>
      <c r="G4" s="182"/>
      <c r="H4" s="182"/>
      <c r="I4" s="182"/>
      <c r="J4" s="182"/>
      <c r="K4" s="182"/>
      <c r="L4" s="182"/>
      <c r="M4" s="182"/>
      <c r="N4" s="182"/>
      <c r="O4" s="182"/>
      <c r="P4" s="182"/>
      <c r="Q4" s="182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  <c r="AH4" s="182"/>
      <c r="AI4" s="182"/>
      <c r="AJ4" s="182"/>
      <c r="AK4" s="182"/>
      <c r="AL4" s="182"/>
      <c r="AM4" s="182"/>
      <c r="AN4" s="182"/>
      <c r="AO4" s="182"/>
      <c r="AP4" s="182"/>
      <c r="AQ4" s="182"/>
      <c r="AR4" s="182"/>
      <c r="AS4" s="182"/>
      <c r="AT4" s="182"/>
      <c r="AU4" s="182"/>
      <c r="AV4" s="182"/>
      <c r="AW4" s="182"/>
      <c r="AX4" s="182"/>
      <c r="AY4" s="182"/>
      <c r="AZ4" s="182"/>
      <c r="BA4" s="182"/>
      <c r="BB4" s="182"/>
      <c r="BC4" s="182"/>
      <c r="BD4" s="182"/>
      <c r="BE4" s="182"/>
      <c r="BF4" s="182"/>
      <c r="BG4" s="182"/>
      <c r="BH4" s="182"/>
      <c r="BI4" s="182"/>
      <c r="BJ4" s="182"/>
      <c r="BK4" s="182"/>
      <c r="BL4" s="182"/>
      <c r="BM4" s="182"/>
      <c r="BN4" s="182"/>
      <c r="BO4" s="182"/>
      <c r="BP4" s="182"/>
      <c r="BQ4" s="182"/>
      <c r="BR4" s="182"/>
      <c r="BS4" s="182"/>
      <c r="BT4" s="182"/>
      <c r="BU4" s="182"/>
      <c r="BV4" s="182"/>
      <c r="BW4" s="43"/>
      <c r="BX4" s="43"/>
    </row>
    <row r="5" spans="1:80" ht="27" customHeight="1" x14ac:dyDescent="0.35">
      <c r="A5" s="180" t="str">
        <f>CONCATENATE("ПРОТОКОЛ №","ЕИ-04/",Данные!B9,"-",Данные!B2)</f>
        <v>ПРОТОКОЛ №ЕИ-04/02-01202</v>
      </c>
      <c r="B5" s="180"/>
      <c r="C5" s="180"/>
      <c r="D5" s="180"/>
      <c r="E5" s="180"/>
      <c r="F5" s="180"/>
      <c r="G5" s="180"/>
      <c r="H5" s="180"/>
      <c r="I5" s="180"/>
      <c r="J5" s="180"/>
      <c r="K5" s="180"/>
      <c r="L5" s="180"/>
      <c r="M5" s="180"/>
      <c r="N5" s="180"/>
      <c r="O5" s="180"/>
      <c r="P5" s="180"/>
      <c r="Q5" s="180"/>
      <c r="R5" s="180"/>
      <c r="S5" s="180"/>
      <c r="T5" s="180"/>
      <c r="U5" s="180"/>
      <c r="V5" s="180"/>
      <c r="W5" s="180"/>
      <c r="X5" s="180"/>
      <c r="Y5" s="180"/>
      <c r="Z5" s="180"/>
      <c r="AA5" s="180"/>
      <c r="AB5" s="180"/>
      <c r="AC5" s="180"/>
      <c r="AD5" s="180"/>
      <c r="AE5" s="180"/>
      <c r="AF5" s="180"/>
      <c r="AG5" s="180"/>
      <c r="AH5" s="180"/>
      <c r="AI5" s="180"/>
      <c r="AJ5" s="180"/>
      <c r="AK5" s="180"/>
      <c r="AL5" s="180"/>
      <c r="AM5" s="180"/>
      <c r="AN5" s="180"/>
      <c r="AO5" s="180"/>
      <c r="AP5" s="180"/>
      <c r="AQ5" s="180"/>
      <c r="AR5" s="180"/>
      <c r="AS5" s="180"/>
      <c r="AT5" s="180"/>
      <c r="AU5" s="180"/>
      <c r="AV5" s="180"/>
      <c r="AW5" s="180"/>
      <c r="AX5" s="180"/>
      <c r="AY5" s="180"/>
      <c r="AZ5" s="180"/>
      <c r="BA5" s="180"/>
      <c r="BB5" s="180"/>
      <c r="BC5" s="180"/>
      <c r="BD5" s="180"/>
      <c r="BE5" s="180"/>
      <c r="BF5" s="180"/>
      <c r="BG5" s="180"/>
      <c r="BH5" s="180"/>
      <c r="BI5" s="180"/>
      <c r="BJ5" s="180"/>
      <c r="BK5" s="180"/>
      <c r="BL5" s="180"/>
      <c r="BM5" s="180"/>
      <c r="BN5" s="180"/>
      <c r="BO5" s="180"/>
      <c r="BP5" s="180"/>
      <c r="BQ5" s="180"/>
      <c r="BR5" s="180"/>
      <c r="BS5" s="180"/>
      <c r="BT5" s="180"/>
      <c r="BU5" s="180"/>
      <c r="BV5" s="180"/>
      <c r="BW5" s="43"/>
      <c r="BX5" s="43"/>
    </row>
    <row r="6" spans="1:80" ht="15.75" customHeight="1" x14ac:dyDescent="0.3">
      <c r="A6" s="138" t="str">
        <f>CONCATENATE("периодической поверки СИ - счетчик воды ",INDEX(Данные!$K$54:$W$99,Данные!K52,13),", год изготовления ",Данные!B3,", заводской № ",Данные!B4)</f>
        <v>периодической поверки СИ - счетчик воды СГВ-15, год изготовления 2019, заводской № 40001028</v>
      </c>
      <c r="B6" s="139"/>
      <c r="C6" s="139"/>
      <c r="D6" s="139"/>
      <c r="E6" s="139"/>
      <c r="F6" s="139"/>
      <c r="G6" s="139"/>
      <c r="H6" s="139"/>
      <c r="I6" s="139"/>
      <c r="J6" s="139"/>
      <c r="K6" s="139"/>
      <c r="L6" s="139"/>
      <c r="M6" s="139"/>
      <c r="N6" s="139"/>
      <c r="O6" s="139"/>
      <c r="P6" s="139"/>
      <c r="Q6" s="139"/>
      <c r="R6" s="139"/>
      <c r="S6" s="139"/>
      <c r="T6" s="139"/>
      <c r="U6" s="139"/>
      <c r="V6" s="139"/>
      <c r="W6" s="139"/>
      <c r="X6" s="139"/>
      <c r="Y6" s="139"/>
      <c r="Z6" s="139"/>
      <c r="AA6" s="139"/>
      <c r="AB6" s="139"/>
      <c r="AC6" s="139"/>
      <c r="AD6" s="139"/>
      <c r="AE6" s="139"/>
      <c r="AF6" s="139"/>
      <c r="AG6" s="139"/>
      <c r="AH6" s="139"/>
      <c r="AI6" s="139"/>
      <c r="AJ6" s="139"/>
      <c r="AK6" s="139"/>
      <c r="AL6" s="139"/>
      <c r="AM6" s="139"/>
      <c r="AN6" s="139"/>
      <c r="AO6" s="139"/>
      <c r="AP6" s="139"/>
      <c r="AQ6" s="139"/>
      <c r="AR6" s="139"/>
      <c r="AS6" s="139"/>
      <c r="AT6" s="139"/>
      <c r="AU6" s="139"/>
      <c r="AV6" s="139"/>
      <c r="AW6" s="139"/>
      <c r="AX6" s="139"/>
      <c r="AY6" s="139"/>
      <c r="AZ6" s="139"/>
      <c r="BA6" s="139"/>
      <c r="BB6" s="139"/>
      <c r="BC6" s="139"/>
      <c r="BD6" s="139"/>
      <c r="BE6" s="139"/>
      <c r="BF6" s="139"/>
      <c r="BG6" s="139"/>
      <c r="BH6" s="139"/>
      <c r="BI6" s="139"/>
      <c r="BJ6" s="139"/>
      <c r="BK6" s="139"/>
      <c r="BL6" s="139"/>
      <c r="BM6" s="139"/>
      <c r="BN6" s="139"/>
      <c r="BO6" s="139"/>
      <c r="BP6" s="139"/>
      <c r="BQ6" s="139"/>
      <c r="BR6" s="139"/>
      <c r="BS6" s="139"/>
      <c r="BT6" s="139"/>
      <c r="BU6" s="139"/>
      <c r="BV6" s="139"/>
      <c r="BW6" s="139"/>
      <c r="BX6" s="43"/>
    </row>
    <row r="7" spans="1:80" s="60" customFormat="1" ht="15.75" customHeight="1" x14ac:dyDescent="0.3">
      <c r="A7" s="139"/>
      <c r="B7" s="139"/>
      <c r="C7" s="139"/>
      <c r="D7" s="139"/>
      <c r="E7" s="139"/>
      <c r="F7" s="139"/>
      <c r="G7" s="139"/>
      <c r="H7" s="139"/>
      <c r="I7" s="139"/>
      <c r="J7" s="139"/>
      <c r="K7" s="139"/>
      <c r="L7" s="139"/>
      <c r="M7" s="139"/>
      <c r="N7" s="139"/>
      <c r="O7" s="139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39"/>
      <c r="AA7" s="139"/>
      <c r="AB7" s="139"/>
      <c r="AC7" s="139"/>
      <c r="AD7" s="139"/>
      <c r="AE7" s="139"/>
      <c r="AF7" s="139"/>
      <c r="AG7" s="139"/>
      <c r="AH7" s="139"/>
      <c r="AI7" s="139"/>
      <c r="AJ7" s="139"/>
      <c r="AK7" s="139"/>
      <c r="AL7" s="139"/>
      <c r="AM7" s="139"/>
      <c r="AN7" s="139"/>
      <c r="AO7" s="139"/>
      <c r="AP7" s="139"/>
      <c r="AQ7" s="139"/>
      <c r="AR7" s="139"/>
      <c r="AS7" s="139"/>
      <c r="AT7" s="139"/>
      <c r="AU7" s="139"/>
      <c r="AV7" s="139"/>
      <c r="AW7" s="139"/>
      <c r="AX7" s="139"/>
      <c r="AY7" s="139"/>
      <c r="AZ7" s="139"/>
      <c r="BA7" s="139"/>
      <c r="BB7" s="139"/>
      <c r="BC7" s="139"/>
      <c r="BD7" s="139"/>
      <c r="BE7" s="139"/>
      <c r="BF7" s="139"/>
      <c r="BG7" s="139"/>
      <c r="BH7" s="139"/>
      <c r="BI7" s="139"/>
      <c r="BJ7" s="139"/>
      <c r="BK7" s="139"/>
      <c r="BL7" s="139"/>
      <c r="BM7" s="139"/>
      <c r="BN7" s="139"/>
      <c r="BO7" s="139"/>
      <c r="BP7" s="139"/>
      <c r="BQ7" s="139"/>
      <c r="BR7" s="139"/>
      <c r="BS7" s="139"/>
      <c r="BT7" s="139"/>
      <c r="BU7" s="139"/>
      <c r="BV7" s="139"/>
      <c r="BW7" s="139"/>
      <c r="BX7" s="43"/>
    </row>
    <row r="8" spans="1:80" ht="21" customHeight="1" x14ac:dyDescent="0.3">
      <c r="A8" s="41" t="str">
        <f>CONCATENATE("Регистрационный номер средства измерений в ФИФ ОЕИ: ",INDEX(Данные!$K$54:$W$99,Данные!K52,12))</f>
        <v>Регистрационный номер средства измерений в ФИФ ОЕИ: 16078-13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0" ht="15.6" x14ac:dyDescent="0.3">
      <c r="A9" s="5" t="str">
        <f>CONCATENATE("Принадлежащего: ",Данные!B7)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0" ht="15.6" x14ac:dyDescent="0.3">
      <c r="A10" s="36" t="str">
        <f>CONCATENATE("Место поверки: ",Данные!B8 )</f>
        <v>Место поверки: ЗАТО Первомайский, ул. Советская, 8-34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0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0" ht="21" customHeight="1" x14ac:dyDescent="0.3">
      <c r="A12" s="124" t="s">
        <v>28</v>
      </c>
      <c r="B12" s="124"/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124"/>
      <c r="Z12" s="124"/>
      <c r="AA12" s="124"/>
      <c r="AB12" s="124"/>
      <c r="AC12" s="124"/>
      <c r="AD12" s="124"/>
      <c r="AE12" s="124"/>
      <c r="AF12" s="124"/>
      <c r="AG12" s="124"/>
      <c r="AH12" s="124"/>
      <c r="AI12" s="124"/>
      <c r="AJ12" s="124"/>
      <c r="AK12" s="124"/>
      <c r="AL12" s="124"/>
      <c r="AM12" s="124"/>
      <c r="AN12" s="124"/>
      <c r="AO12" s="124"/>
      <c r="AP12" s="124"/>
      <c r="AQ12" s="124"/>
      <c r="AR12" s="124"/>
      <c r="AS12" s="124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4"/>
      <c r="BE12" s="124"/>
      <c r="BF12" s="124"/>
      <c r="BG12" s="124"/>
      <c r="BH12" s="124"/>
      <c r="BI12" s="124"/>
      <c r="BJ12" s="124"/>
      <c r="BK12" s="124"/>
      <c r="BL12" s="124"/>
      <c r="BM12" s="124"/>
      <c r="BN12" s="124"/>
      <c r="BO12" s="124"/>
      <c r="BP12" s="124"/>
      <c r="BQ12" s="124"/>
      <c r="BR12" s="124"/>
      <c r="BS12" s="124"/>
      <c r="BT12" s="124"/>
      <c r="BU12" s="124"/>
      <c r="BV12" s="124"/>
      <c r="BW12" s="124"/>
      <c r="BX12" s="124"/>
    </row>
    <row r="13" spans="1:80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0" ht="23.25" customHeight="1" x14ac:dyDescent="0.3">
      <c r="A14" s="41" t="str">
        <f>CONCATENATE("от ",INDEX(Данные!$K$54:$W$99,Данные!K52,3)*2," м3/ч до ",INDEX(Данные!$K$54:$W$99,Данные!K52,7),"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0" ht="18.75" customHeight="1" x14ac:dyDescent="0.3">
      <c r="A15" s="41" t="str">
        <f>CONCATENATE("от ",INDEX(Данные!$K$54:$W$99,Данные!K52,3)," м3/ч до ",INDEX(Данные!$K$54:$W$99,Данные!K52,7),"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0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",INDEX(Данные!$K$54:$W$99,Данные!K52,3)*2," м3/ч до ",INDEX(Данные!$K$54:$W$99,Данные!K52,4)," м3/ч : ± ",INDEX(Данные!$K$54:$W$99,Данные!K52,8),"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",INDEX(Данные!$K$54:$W$99,Данные!K52,4)," м3/ч до ",INDEX(Данные!$K$54:$W$99,Данные!K52,7)," м3/ч : ± ",INDEX(Данные!$K$54:$W$99,Данные!K52,9),"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",INDEX(Данные!$K$54:$W$99,Данные!K52,3)," м3/ч до ",INDEX(Данные!$K$54:$W$99,Данные!K52,5)," м3/ч : ± ",INDEX(Данные!$K$54:$W$99,Данные!K52,8),"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",INDEX(Данные!$K$54:$W$99,Данные!K52,5)," м3/ч до ",INDEX(Данные!$K$54:$W$99,Данные!K52,7)," м3/ч : ± ",INDEX(Данные!$K$54:$W$99,Данные!K52,9),"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62" t="s">
        <v>82</v>
      </c>
      <c r="B26" s="153"/>
      <c r="C26" s="153"/>
      <c r="D26" s="153"/>
      <c r="E26" s="153"/>
      <c r="F26" s="153"/>
      <c r="G26" s="153"/>
      <c r="H26" s="153"/>
      <c r="I26" s="153"/>
      <c r="J26" s="153"/>
      <c r="K26" s="153"/>
      <c r="L26" s="153"/>
      <c r="M26" s="153"/>
      <c r="N26" s="153"/>
      <c r="O26" s="153"/>
      <c r="P26" s="153"/>
      <c r="Q26" s="153"/>
      <c r="R26" s="153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/>
      <c r="AD26" s="153"/>
      <c r="AE26" s="154"/>
      <c r="AF26" s="152" t="s">
        <v>78</v>
      </c>
      <c r="AG26" s="153"/>
      <c r="AH26" s="153"/>
      <c r="AI26" s="153"/>
      <c r="AJ26" s="153"/>
      <c r="AK26" s="153"/>
      <c r="AL26" s="153"/>
      <c r="AM26" s="153"/>
      <c r="AN26" s="153"/>
      <c r="AO26" s="154"/>
      <c r="AP26" s="152" t="s">
        <v>79</v>
      </c>
      <c r="AQ26" s="153"/>
      <c r="AR26" s="153"/>
      <c r="AS26" s="153"/>
      <c r="AT26" s="153"/>
      <c r="AU26" s="153"/>
      <c r="AV26" s="154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92"/>
      <c r="BT26" s="92"/>
      <c r="BU26" s="92"/>
      <c r="BV26" s="92"/>
      <c r="BW26" s="92"/>
      <c r="BX26" s="43"/>
    </row>
    <row r="27" spans="1:77" s="60" customFormat="1" ht="15" customHeight="1" x14ac:dyDescent="0.3">
      <c r="A27" s="155"/>
      <c r="B27" s="156"/>
      <c r="C27" s="156"/>
      <c r="D27" s="156"/>
      <c r="E27" s="156"/>
      <c r="F27" s="156"/>
      <c r="G27" s="156"/>
      <c r="H27" s="156"/>
      <c r="I27" s="156"/>
      <c r="J27" s="156"/>
      <c r="K27" s="156"/>
      <c r="L27" s="156"/>
      <c r="M27" s="156"/>
      <c r="N27" s="156"/>
      <c r="O27" s="156"/>
      <c r="P27" s="156"/>
      <c r="Q27" s="156"/>
      <c r="R27" s="156"/>
      <c r="S27" s="156"/>
      <c r="T27" s="156"/>
      <c r="U27" s="156"/>
      <c r="V27" s="156"/>
      <c r="W27" s="156"/>
      <c r="X27" s="156"/>
      <c r="Y27" s="156"/>
      <c r="Z27" s="156"/>
      <c r="AA27" s="156"/>
      <c r="AB27" s="156"/>
      <c r="AC27" s="156"/>
      <c r="AD27" s="156"/>
      <c r="AE27" s="157"/>
      <c r="AF27" s="155"/>
      <c r="AG27" s="156"/>
      <c r="AH27" s="156"/>
      <c r="AI27" s="156"/>
      <c r="AJ27" s="156"/>
      <c r="AK27" s="156"/>
      <c r="AL27" s="156"/>
      <c r="AM27" s="156"/>
      <c r="AN27" s="156"/>
      <c r="AO27" s="157"/>
      <c r="AP27" s="155"/>
      <c r="AQ27" s="156"/>
      <c r="AR27" s="156"/>
      <c r="AS27" s="156"/>
      <c r="AT27" s="156"/>
      <c r="AU27" s="156"/>
      <c r="AV27" s="157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92"/>
      <c r="BT27" s="92"/>
      <c r="BU27" s="92"/>
      <c r="BV27" s="92"/>
      <c r="BW27" s="92"/>
      <c r="BX27" s="43"/>
    </row>
    <row r="28" spans="1:77" s="60" customFormat="1" ht="21" customHeight="1" x14ac:dyDescent="0.3">
      <c r="A28" s="159" t="s">
        <v>75</v>
      </c>
      <c r="B28" s="160"/>
      <c r="C28" s="160"/>
      <c r="D28" s="160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160"/>
      <c r="Q28" s="160"/>
      <c r="R28" s="160"/>
      <c r="S28" s="160"/>
      <c r="T28" s="160"/>
      <c r="U28" s="160"/>
      <c r="V28" s="160"/>
      <c r="W28" s="160"/>
      <c r="X28" s="160"/>
      <c r="Y28" s="160"/>
      <c r="Z28" s="160"/>
      <c r="AA28" s="160"/>
      <c r="AB28" s="160"/>
      <c r="AC28" s="160"/>
      <c r="AD28" s="160"/>
      <c r="AE28" s="161"/>
      <c r="AF28" s="117">
        <f>Данные!B11</f>
        <v>23.5</v>
      </c>
      <c r="AG28" s="115"/>
      <c r="AH28" s="115"/>
      <c r="AI28" s="115"/>
      <c r="AJ28" s="115"/>
      <c r="AK28" s="115"/>
      <c r="AL28" s="115"/>
      <c r="AM28" s="115"/>
      <c r="AN28" s="115"/>
      <c r="AO28" s="116"/>
      <c r="AP28" s="117">
        <f ca="1">AF28+(RANDBETWEEN(-26,53)/10)</f>
        <v>27.1</v>
      </c>
      <c r="AQ28" s="115"/>
      <c r="AR28" s="115"/>
      <c r="AS28" s="115"/>
      <c r="AT28" s="115"/>
      <c r="AU28" s="115"/>
      <c r="AV28" s="116"/>
      <c r="AW28" s="63"/>
      <c r="AX28" s="99" t="s">
        <v>94</v>
      </c>
      <c r="AY28" s="99"/>
      <c r="AZ28" s="99"/>
      <c r="BA28" s="99"/>
      <c r="BB28" s="99"/>
      <c r="BC28" s="99"/>
      <c r="BD28" s="99"/>
      <c r="BE28" s="9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92"/>
      <c r="BT28" s="92"/>
      <c r="BU28" s="92"/>
      <c r="BV28" s="92"/>
      <c r="BW28" s="92"/>
      <c r="BX28" s="43"/>
    </row>
    <row r="29" spans="1:77" s="60" customFormat="1" ht="21.75" customHeight="1" x14ac:dyDescent="0.3">
      <c r="A29" s="158" t="s">
        <v>76</v>
      </c>
      <c r="B29" s="115"/>
      <c r="C29" s="115"/>
      <c r="D29" s="115"/>
      <c r="E29" s="115"/>
      <c r="F29" s="115"/>
      <c r="G29" s="115"/>
      <c r="H29" s="115"/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  <c r="AA29" s="115"/>
      <c r="AB29" s="115"/>
      <c r="AC29" s="115"/>
      <c r="AD29" s="115"/>
      <c r="AE29" s="116"/>
      <c r="AF29" s="114">
        <f>Данные!B12</f>
        <v>48</v>
      </c>
      <c r="AG29" s="115"/>
      <c r="AH29" s="115"/>
      <c r="AI29" s="115"/>
      <c r="AJ29" s="115"/>
      <c r="AK29" s="115"/>
      <c r="AL29" s="115"/>
      <c r="AM29" s="115"/>
      <c r="AN29" s="115"/>
      <c r="AO29" s="116"/>
      <c r="AP29" s="114">
        <f ca="1">AF29+(RANDBETWEEN(43,97)/10)</f>
        <v>52.4</v>
      </c>
      <c r="AQ29" s="115"/>
      <c r="AR29" s="115"/>
      <c r="AS29" s="115"/>
      <c r="AT29" s="115"/>
      <c r="AU29" s="115"/>
      <c r="AV29" s="116"/>
      <c r="AW29" s="63"/>
      <c r="AX29" s="99" t="s">
        <v>95</v>
      </c>
      <c r="AY29" s="99"/>
      <c r="AZ29" s="99"/>
      <c r="BA29" s="99"/>
      <c r="BB29" s="99"/>
      <c r="BC29" s="99"/>
      <c r="BD29" s="99"/>
      <c r="BE29" s="9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92"/>
      <c r="BT29" s="92"/>
      <c r="BU29" s="92"/>
      <c r="BV29" s="92"/>
      <c r="BW29" s="92"/>
      <c r="BX29" s="43"/>
    </row>
    <row r="30" spans="1:77" s="60" customFormat="1" ht="21" customHeight="1" x14ac:dyDescent="0.3">
      <c r="A30" s="158" t="s">
        <v>77</v>
      </c>
      <c r="B30" s="115"/>
      <c r="C30" s="115"/>
      <c r="D30" s="115"/>
      <c r="E30" s="115"/>
      <c r="F30" s="115"/>
      <c r="G30" s="115"/>
      <c r="H30" s="115"/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  <c r="AA30" s="115"/>
      <c r="AB30" s="115"/>
      <c r="AC30" s="115"/>
      <c r="AD30" s="115"/>
      <c r="AE30" s="116"/>
      <c r="AF30" s="114">
        <f>Данные!B13</f>
        <v>100.7</v>
      </c>
      <c r="AG30" s="115"/>
      <c r="AH30" s="115"/>
      <c r="AI30" s="115"/>
      <c r="AJ30" s="115"/>
      <c r="AK30" s="115"/>
      <c r="AL30" s="115"/>
      <c r="AM30" s="115"/>
      <c r="AN30" s="115"/>
      <c r="AO30" s="116"/>
      <c r="AP30" s="118">
        <f>AF30</f>
        <v>100.7</v>
      </c>
      <c r="AQ30" s="119"/>
      <c r="AR30" s="119"/>
      <c r="AS30" s="119"/>
      <c r="AT30" s="119"/>
      <c r="AU30" s="119"/>
      <c r="AV30" s="120"/>
      <c r="AW30" s="63"/>
      <c r="AX30" s="99" t="s">
        <v>96</v>
      </c>
      <c r="AY30" s="99"/>
      <c r="AZ30" s="99"/>
      <c r="BA30" s="99"/>
      <c r="BB30" s="99"/>
      <c r="BC30" s="99"/>
      <c r="BD30" s="99"/>
      <c r="BE30" s="99"/>
      <c r="BF30" s="9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92"/>
      <c r="BT30" s="92"/>
      <c r="BU30" s="92"/>
      <c r="BV30" s="92"/>
      <c r="BW30" s="92"/>
      <c r="BX30" s="43"/>
    </row>
    <row r="31" spans="1:77" s="60" customFormat="1" ht="23.25" customHeight="1" x14ac:dyDescent="0.3">
      <c r="A31" s="158" t="s">
        <v>83</v>
      </c>
      <c r="B31" s="115"/>
      <c r="C31" s="115"/>
      <c r="D31" s="115"/>
      <c r="E31" s="115"/>
      <c r="F31" s="115"/>
      <c r="G31" s="115"/>
      <c r="H31" s="115"/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  <c r="AA31" s="115"/>
      <c r="AB31" s="115"/>
      <c r="AC31" s="115"/>
      <c r="AD31" s="115"/>
      <c r="AE31" s="116"/>
      <c r="AF31" s="114">
        <f>Данные!B14</f>
        <v>5</v>
      </c>
      <c r="AG31" s="115"/>
      <c r="AH31" s="115"/>
      <c r="AI31" s="115"/>
      <c r="AJ31" s="115"/>
      <c r="AK31" s="115"/>
      <c r="AL31" s="115"/>
      <c r="AM31" s="115"/>
      <c r="AN31" s="115"/>
      <c r="AO31" s="116"/>
      <c r="AP31" s="114">
        <f>Данные!B15</f>
        <v>5</v>
      </c>
      <c r="AQ31" s="115"/>
      <c r="AR31" s="115"/>
      <c r="AS31" s="115"/>
      <c r="AT31" s="115"/>
      <c r="AU31" s="115"/>
      <c r="AV31" s="116"/>
      <c r="AW31" s="63"/>
      <c r="AX31" s="100" t="s">
        <v>81</v>
      </c>
      <c r="AY31" s="100"/>
      <c r="AZ31" s="100"/>
      <c r="BA31" s="100"/>
      <c r="BB31" s="100"/>
      <c r="BC31" s="100"/>
      <c r="BD31" s="100"/>
      <c r="BE31" s="100"/>
      <c r="BF31" s="100"/>
      <c r="BG31" s="100"/>
      <c r="BH31" s="100"/>
      <c r="BI31" s="100"/>
      <c r="BJ31" s="100"/>
      <c r="BK31" s="100"/>
      <c r="BL31" s="100"/>
      <c r="BM31" s="100"/>
      <c r="BN31" s="100"/>
      <c r="BO31" s="100"/>
      <c r="BP31" s="100"/>
      <c r="BQ31" s="100"/>
      <c r="BR31" s="100"/>
      <c r="BS31" s="100"/>
      <c r="BT31" s="100"/>
      <c r="BU31" s="100"/>
      <c r="BV31" s="100"/>
      <c r="BW31" s="10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24" t="s">
        <v>31</v>
      </c>
      <c r="M33" s="124"/>
      <c r="N33" s="124"/>
      <c r="O33" s="124"/>
      <c r="P33" s="124"/>
      <c r="Q33" s="124"/>
      <c r="R33" s="124"/>
      <c r="S33" s="124"/>
      <c r="T33" s="124"/>
      <c r="U33" s="124"/>
      <c r="V33" s="124"/>
      <c r="W33" s="124"/>
      <c r="X33" s="124"/>
      <c r="Y33" s="124"/>
      <c r="Z33" s="124"/>
      <c r="AA33" s="124"/>
      <c r="AB33" s="124"/>
      <c r="AC33" s="124"/>
      <c r="AD33" s="124"/>
      <c r="AE33" s="124"/>
      <c r="AF33" s="124"/>
      <c r="AG33" s="124"/>
      <c r="AH33" s="124"/>
      <c r="AI33" s="124"/>
      <c r="AJ33" s="124"/>
      <c r="AK33" s="124"/>
      <c r="AL33" s="124"/>
      <c r="AM33" s="124"/>
      <c r="AN33" s="124"/>
      <c r="AO33" s="124"/>
      <c r="AP33" s="124"/>
      <c r="AQ33" s="124"/>
      <c r="AR33" s="124"/>
      <c r="AS33" s="124"/>
      <c r="AT33" s="124"/>
      <c r="AU33" s="124"/>
      <c r="AV33" s="124"/>
      <c r="AW33" s="124"/>
      <c r="AX33" s="124"/>
      <c r="AY33" s="124"/>
      <c r="AZ33" s="124"/>
      <c r="BA33" s="124"/>
      <c r="BB33" s="124"/>
      <c r="BC33" s="124"/>
      <c r="BD33" s="124"/>
      <c r="BE33" s="124"/>
      <c r="BF33" s="124"/>
      <c r="BG33" s="124"/>
      <c r="BH33" s="124"/>
      <c r="BI33" s="124"/>
      <c r="BJ33" s="124"/>
      <c r="BK33" s="124"/>
      <c r="BL33" s="124"/>
      <c r="BM33" s="124"/>
      <c r="BN33" s="12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Данные!D9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8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24" t="s">
        <v>32</v>
      </c>
      <c r="E37" s="124"/>
      <c r="F37" s="124"/>
      <c r="G37" s="124"/>
      <c r="H37" s="124"/>
      <c r="I37" s="124"/>
      <c r="J37" s="124"/>
      <c r="K37" s="124"/>
      <c r="L37" s="124"/>
      <c r="M37" s="124"/>
      <c r="N37" s="124"/>
      <c r="O37" s="124"/>
      <c r="P37" s="124"/>
      <c r="Q37" s="124"/>
      <c r="R37" s="124"/>
      <c r="S37" s="124"/>
      <c r="T37" s="124"/>
      <c r="U37" s="124"/>
      <c r="V37" s="124"/>
      <c r="W37" s="124"/>
      <c r="X37" s="124"/>
      <c r="Y37" s="124"/>
      <c r="Z37" s="124"/>
      <c r="AA37" s="124"/>
      <c r="AB37" s="124"/>
      <c r="AC37" s="124"/>
      <c r="AD37" s="124"/>
      <c r="AE37" s="124"/>
      <c r="AF37" s="124"/>
      <c r="AG37" s="124"/>
      <c r="AH37" s="124"/>
      <c r="AI37" s="124"/>
      <c r="AJ37" s="124"/>
      <c r="AK37" s="124"/>
      <c r="AL37" s="124"/>
      <c r="AM37" s="124"/>
      <c r="AN37" s="124"/>
      <c r="AO37" s="124"/>
      <c r="AP37" s="124"/>
      <c r="AQ37" s="124"/>
      <c r="AR37" s="124"/>
      <c r="AS37" s="124"/>
      <c r="AT37" s="124"/>
      <c r="AU37" s="124"/>
      <c r="AV37" s="124"/>
      <c r="AW37" s="124"/>
      <c r="AX37" s="124"/>
      <c r="AY37" s="124"/>
      <c r="AZ37" s="124"/>
      <c r="BA37" s="124"/>
      <c r="BB37" s="124"/>
      <c r="BC37" s="124"/>
      <c r="BD37" s="124"/>
      <c r="BE37" s="124"/>
      <c r="BF37" s="124"/>
      <c r="BG37" s="124"/>
      <c r="BH37" s="124"/>
      <c r="BI37" s="124"/>
      <c r="BJ37" s="124"/>
      <c r="BK37" s="124"/>
      <c r="BL37" s="124"/>
      <c r="BM37" s="124"/>
      <c r="BN37" s="124"/>
      <c r="BO37" s="124"/>
      <c r="BP37" s="124"/>
      <c r="BQ37" s="124"/>
      <c r="BR37" s="124"/>
      <c r="BS37" s="124"/>
      <c r="BT37" s="124"/>
      <c r="BU37" s="124"/>
      <c r="BV37" s="5"/>
      <c r="BW37" s="43"/>
      <c r="BX37" s="43"/>
    </row>
    <row r="38" spans="1:76" ht="4.5" customHeight="1" x14ac:dyDescent="0.3">
      <c r="A38" s="166" t="str">
        <f>INDEX(Данные!$K$54:$W$99,Данные!K52,2)</f>
        <v>«Рекомендация. ГСИ. Счетчики воды. Методика поверки» МИ 1592-2015</v>
      </c>
      <c r="B38" s="167"/>
      <c r="C38" s="167"/>
      <c r="D38" s="167"/>
      <c r="E38" s="167"/>
      <c r="F38" s="167"/>
      <c r="G38" s="167"/>
      <c r="H38" s="167"/>
      <c r="I38" s="167"/>
      <c r="J38" s="167"/>
      <c r="K38" s="167"/>
      <c r="L38" s="167"/>
      <c r="M38" s="167"/>
      <c r="N38" s="167"/>
      <c r="O38" s="167"/>
      <c r="P38" s="167"/>
      <c r="Q38" s="167"/>
      <c r="R38" s="167"/>
      <c r="S38" s="167"/>
      <c r="T38" s="167"/>
      <c r="U38" s="167"/>
      <c r="V38" s="167"/>
      <c r="W38" s="167"/>
      <c r="X38" s="167"/>
      <c r="Y38" s="167"/>
      <c r="Z38" s="167"/>
      <c r="AA38" s="167"/>
      <c r="AB38" s="167"/>
      <c r="AC38" s="167"/>
      <c r="AD38" s="167"/>
      <c r="AE38" s="167"/>
      <c r="AF38" s="167"/>
      <c r="AG38" s="167"/>
      <c r="AH38" s="167"/>
      <c r="AI38" s="167"/>
      <c r="AJ38" s="167"/>
      <c r="AK38" s="167"/>
      <c r="AL38" s="167"/>
      <c r="AM38" s="167"/>
      <c r="AN38" s="167"/>
      <c r="AO38" s="167"/>
      <c r="AP38" s="167"/>
      <c r="AQ38" s="167"/>
      <c r="AR38" s="167"/>
      <c r="AS38" s="167"/>
      <c r="AT38" s="167"/>
      <c r="AU38" s="167"/>
      <c r="AV38" s="167"/>
      <c r="AW38" s="167"/>
      <c r="AX38" s="167"/>
      <c r="AY38" s="167"/>
      <c r="AZ38" s="167"/>
      <c r="BA38" s="167"/>
      <c r="BB38" s="167"/>
      <c r="BC38" s="167"/>
      <c r="BD38" s="167"/>
      <c r="BE38" s="167"/>
      <c r="BF38" s="167"/>
      <c r="BG38" s="167"/>
      <c r="BH38" s="167"/>
      <c r="BI38" s="167"/>
      <c r="BJ38" s="167"/>
      <c r="BK38" s="167"/>
      <c r="BL38" s="167"/>
      <c r="BM38" s="167"/>
      <c r="BN38" s="167"/>
      <c r="BO38" s="167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15" customHeight="1" x14ac:dyDescent="0.3">
      <c r="A39" s="167"/>
      <c r="B39" s="167"/>
      <c r="C39" s="167"/>
      <c r="D39" s="167"/>
      <c r="E39" s="167"/>
      <c r="F39" s="167"/>
      <c r="G39" s="167"/>
      <c r="H39" s="167"/>
      <c r="I39" s="167"/>
      <c r="J39" s="167"/>
      <c r="K39" s="167"/>
      <c r="L39" s="167"/>
      <c r="M39" s="167"/>
      <c r="N39" s="167"/>
      <c r="O39" s="167"/>
      <c r="P39" s="167"/>
      <c r="Q39" s="167"/>
      <c r="R39" s="167"/>
      <c r="S39" s="167"/>
      <c r="T39" s="167"/>
      <c r="U39" s="167"/>
      <c r="V39" s="167"/>
      <c r="W39" s="167"/>
      <c r="X39" s="167"/>
      <c r="Y39" s="167"/>
      <c r="Z39" s="167"/>
      <c r="AA39" s="167"/>
      <c r="AB39" s="167"/>
      <c r="AC39" s="167"/>
      <c r="AD39" s="167"/>
      <c r="AE39" s="167"/>
      <c r="AF39" s="167"/>
      <c r="AG39" s="167"/>
      <c r="AH39" s="167"/>
      <c r="AI39" s="167"/>
      <c r="AJ39" s="167"/>
      <c r="AK39" s="167"/>
      <c r="AL39" s="167"/>
      <c r="AM39" s="167"/>
      <c r="AN39" s="167"/>
      <c r="AO39" s="167"/>
      <c r="AP39" s="167"/>
      <c r="AQ39" s="167"/>
      <c r="AR39" s="167"/>
      <c r="AS39" s="167"/>
      <c r="AT39" s="167"/>
      <c r="AU39" s="167"/>
      <c r="AV39" s="167"/>
      <c r="AW39" s="167"/>
      <c r="AX39" s="167"/>
      <c r="AY39" s="167"/>
      <c r="AZ39" s="167"/>
      <c r="BA39" s="167"/>
      <c r="BB39" s="167"/>
      <c r="BC39" s="167"/>
      <c r="BD39" s="167"/>
      <c r="BE39" s="167"/>
      <c r="BF39" s="167"/>
      <c r="BG39" s="167"/>
      <c r="BH39" s="167"/>
      <c r="BI39" s="167"/>
      <c r="BJ39" s="167"/>
      <c r="BK39" s="167"/>
      <c r="BL39" s="167"/>
      <c r="BM39" s="167"/>
      <c r="BN39" s="167"/>
      <c r="BO39" s="167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24" t="s">
        <v>33</v>
      </c>
      <c r="B41" s="124"/>
      <c r="C41" s="124"/>
      <c r="D41" s="124"/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  <c r="R41" s="124"/>
      <c r="S41" s="124"/>
      <c r="T41" s="124"/>
      <c r="U41" s="124"/>
      <c r="V41" s="124"/>
      <c r="W41" s="124"/>
      <c r="X41" s="124"/>
      <c r="Y41" s="124"/>
      <c r="Z41" s="124"/>
      <c r="AA41" s="124"/>
      <c r="AB41" s="124"/>
      <c r="AC41" s="124"/>
      <c r="AD41" s="124"/>
      <c r="AE41" s="124"/>
      <c r="AF41" s="124"/>
      <c r="AG41" s="124"/>
      <c r="AH41" s="124"/>
      <c r="AI41" s="124"/>
      <c r="AJ41" s="124"/>
      <c r="AK41" s="124"/>
      <c r="AL41" s="124"/>
      <c r="AM41" s="124"/>
      <c r="AN41" s="124"/>
      <c r="AO41" s="124"/>
      <c r="AP41" s="124"/>
      <c r="AQ41" s="124"/>
      <c r="AR41" s="124"/>
      <c r="AS41" s="124"/>
      <c r="AT41" s="124"/>
      <c r="AU41" s="124"/>
      <c r="AV41" s="124"/>
      <c r="AW41" s="124"/>
      <c r="AX41" s="124"/>
      <c r="AY41" s="124"/>
      <c r="AZ41" s="124"/>
      <c r="BA41" s="124"/>
      <c r="BB41" s="124"/>
      <c r="BC41" s="124"/>
      <c r="BD41" s="124"/>
      <c r="BE41" s="124"/>
      <c r="BF41" s="124"/>
      <c r="BG41" s="124"/>
      <c r="BH41" s="124"/>
      <c r="BI41" s="124"/>
      <c r="BJ41" s="124"/>
      <c r="BK41" s="124"/>
      <c r="BL41" s="124"/>
      <c r="BM41" s="124"/>
      <c r="BN41" s="124"/>
      <c r="BO41" s="124"/>
      <c r="BP41" s="124"/>
      <c r="BQ41" s="124"/>
      <c r="BR41" s="124"/>
      <c r="BS41" s="124"/>
      <c r="BT41" s="124"/>
      <c r="BU41" s="124"/>
      <c r="BV41" s="12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101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102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103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41" t="s">
        <v>7</v>
      </c>
      <c r="C48" s="142"/>
      <c r="D48" s="142"/>
      <c r="E48" s="142"/>
      <c r="F48" s="142"/>
      <c r="G48" s="142"/>
      <c r="H48" s="142"/>
      <c r="I48" s="142"/>
      <c r="J48" s="142"/>
      <c r="K48" s="142"/>
      <c r="L48" s="142"/>
      <c r="M48" s="142"/>
      <c r="N48" s="142"/>
      <c r="O48" s="142"/>
      <c r="P48" s="142"/>
      <c r="Q48" s="142"/>
      <c r="R48" s="142"/>
      <c r="S48" s="142"/>
      <c r="T48" s="142"/>
      <c r="U48" s="143"/>
      <c r="V48" s="141" t="s">
        <v>3</v>
      </c>
      <c r="W48" s="142"/>
      <c r="X48" s="142"/>
      <c r="Y48" s="142"/>
      <c r="Z48" s="142"/>
      <c r="AA48" s="142"/>
      <c r="AB48" s="142"/>
      <c r="AC48" s="142"/>
      <c r="AD48" s="142"/>
      <c r="AE48" s="142"/>
      <c r="AF48" s="142"/>
      <c r="AG48" s="142"/>
      <c r="AH48" s="142"/>
      <c r="AI48" s="142"/>
      <c r="AJ48" s="142"/>
      <c r="AK48" s="142"/>
      <c r="AL48" s="142"/>
      <c r="AM48" s="142"/>
      <c r="AN48" s="142"/>
      <c r="AO48" s="142"/>
      <c r="AP48" s="142"/>
      <c r="AQ48" s="142"/>
      <c r="AR48" s="142"/>
      <c r="AS48" s="142"/>
      <c r="AT48" s="142"/>
      <c r="AU48" s="142"/>
      <c r="AV48" s="142"/>
      <c r="AW48" s="142"/>
      <c r="AX48" s="142"/>
      <c r="AY48" s="142"/>
      <c r="AZ48" s="142"/>
      <c r="BA48" s="142"/>
      <c r="BB48" s="142"/>
      <c r="BC48" s="142"/>
      <c r="BD48" s="142"/>
      <c r="BE48" s="142"/>
      <c r="BF48" s="142"/>
      <c r="BG48" s="142"/>
      <c r="BH48" s="142"/>
      <c r="BI48" s="142"/>
      <c r="BJ48" s="142"/>
      <c r="BK48" s="142"/>
      <c r="BL48" s="142"/>
      <c r="BM48" s="142"/>
      <c r="BN48" s="142"/>
      <c r="BO48" s="142"/>
      <c r="BP48" s="142"/>
      <c r="BQ48" s="142"/>
      <c r="BR48" s="142"/>
      <c r="BS48" s="142"/>
      <c r="BT48" s="142"/>
      <c r="BU48" s="143"/>
      <c r="BV48" s="43"/>
      <c r="BW48" s="43"/>
      <c r="BX48" s="43"/>
    </row>
    <row r="49" spans="1:76" ht="13.5" customHeight="1" x14ac:dyDescent="0.3">
      <c r="A49" s="43"/>
      <c r="B49" s="177"/>
      <c r="C49" s="178"/>
      <c r="D49" s="178"/>
      <c r="E49" s="178"/>
      <c r="F49" s="178"/>
      <c r="G49" s="178"/>
      <c r="H49" s="178"/>
      <c r="I49" s="178"/>
      <c r="J49" s="178"/>
      <c r="K49" s="178"/>
      <c r="L49" s="178"/>
      <c r="M49" s="178"/>
      <c r="N49" s="178"/>
      <c r="O49" s="178"/>
      <c r="P49" s="178"/>
      <c r="Q49" s="178"/>
      <c r="R49" s="178"/>
      <c r="S49" s="178"/>
      <c r="T49" s="178"/>
      <c r="U49" s="179"/>
      <c r="V49" s="144"/>
      <c r="W49" s="145"/>
      <c r="X49" s="145"/>
      <c r="Y49" s="145"/>
      <c r="Z49" s="145"/>
      <c r="AA49" s="145"/>
      <c r="AB49" s="145"/>
      <c r="AC49" s="145"/>
      <c r="AD49" s="145"/>
      <c r="AE49" s="145"/>
      <c r="AF49" s="145"/>
      <c r="AG49" s="145"/>
      <c r="AH49" s="145"/>
      <c r="AI49" s="145"/>
      <c r="AJ49" s="145"/>
      <c r="AK49" s="145"/>
      <c r="AL49" s="145"/>
      <c r="AM49" s="145"/>
      <c r="AN49" s="145"/>
      <c r="AO49" s="145"/>
      <c r="AP49" s="145"/>
      <c r="AQ49" s="145"/>
      <c r="AR49" s="145"/>
      <c r="AS49" s="145"/>
      <c r="AT49" s="145"/>
      <c r="AU49" s="145"/>
      <c r="AV49" s="145"/>
      <c r="AW49" s="145"/>
      <c r="AX49" s="145"/>
      <c r="AY49" s="145"/>
      <c r="AZ49" s="145"/>
      <c r="BA49" s="145"/>
      <c r="BB49" s="145"/>
      <c r="BC49" s="145"/>
      <c r="BD49" s="145"/>
      <c r="BE49" s="145"/>
      <c r="BF49" s="145"/>
      <c r="BG49" s="145"/>
      <c r="BH49" s="145"/>
      <c r="BI49" s="145"/>
      <c r="BJ49" s="145"/>
      <c r="BK49" s="145"/>
      <c r="BL49" s="145"/>
      <c r="BM49" s="145"/>
      <c r="BN49" s="145"/>
      <c r="BO49" s="145"/>
      <c r="BP49" s="145"/>
      <c r="BQ49" s="145"/>
      <c r="BR49" s="145"/>
      <c r="BS49" s="145"/>
      <c r="BT49" s="145"/>
      <c r="BU49" s="146"/>
      <c r="BV49" s="43"/>
      <c r="BW49" s="43"/>
      <c r="BX49" s="43"/>
    </row>
    <row r="50" spans="1:76" ht="13.5" customHeight="1" x14ac:dyDescent="0.3">
      <c r="A50" s="43"/>
      <c r="B50" s="177"/>
      <c r="C50" s="178"/>
      <c r="D50" s="178"/>
      <c r="E50" s="178"/>
      <c r="F50" s="178"/>
      <c r="G50" s="178"/>
      <c r="H50" s="178"/>
      <c r="I50" s="178"/>
      <c r="J50" s="178"/>
      <c r="K50" s="178"/>
      <c r="L50" s="178"/>
      <c r="M50" s="178"/>
      <c r="N50" s="178"/>
      <c r="O50" s="178"/>
      <c r="P50" s="178"/>
      <c r="Q50" s="178"/>
      <c r="R50" s="178"/>
      <c r="S50" s="178"/>
      <c r="T50" s="178"/>
      <c r="U50" s="179"/>
      <c r="V50" s="105" t="s">
        <v>4</v>
      </c>
      <c r="W50" s="106"/>
      <c r="X50" s="106"/>
      <c r="Y50" s="106"/>
      <c r="Z50" s="106"/>
      <c r="AA50" s="106"/>
      <c r="AB50" s="107"/>
      <c r="AC50" s="104" t="s">
        <v>88</v>
      </c>
      <c r="AD50" s="104"/>
      <c r="AE50" s="104"/>
      <c r="AF50" s="104"/>
      <c r="AG50" s="104"/>
      <c r="AH50" s="104"/>
      <c r="AI50" s="104"/>
      <c r="AJ50" s="163" t="s">
        <v>72</v>
      </c>
      <c r="AK50" s="164"/>
      <c r="AL50" s="164"/>
      <c r="AM50" s="164"/>
      <c r="AN50" s="164"/>
      <c r="AO50" s="164"/>
      <c r="AP50" s="164"/>
      <c r="AQ50" s="164"/>
      <c r="AR50" s="164"/>
      <c r="AS50" s="164"/>
      <c r="AT50" s="164"/>
      <c r="AU50" s="164"/>
      <c r="AV50" s="165"/>
      <c r="AW50" s="105" t="s">
        <v>212</v>
      </c>
      <c r="AX50" s="106"/>
      <c r="AY50" s="106"/>
      <c r="AZ50" s="106"/>
      <c r="BA50" s="106"/>
      <c r="BB50" s="106"/>
      <c r="BC50" s="107"/>
      <c r="BD50" s="104" t="s">
        <v>89</v>
      </c>
      <c r="BE50" s="104"/>
      <c r="BF50" s="104"/>
      <c r="BG50" s="104"/>
      <c r="BH50" s="104"/>
      <c r="BI50" s="104"/>
      <c r="BJ50" s="104"/>
      <c r="BK50" s="104" t="s">
        <v>5</v>
      </c>
      <c r="BL50" s="104"/>
      <c r="BM50" s="104"/>
      <c r="BN50" s="104"/>
      <c r="BO50" s="104"/>
      <c r="BP50" s="104"/>
      <c r="BQ50" s="168" t="s">
        <v>6</v>
      </c>
      <c r="BR50" s="169"/>
      <c r="BS50" s="169"/>
      <c r="BT50" s="169"/>
      <c r="BU50" s="170"/>
      <c r="BV50" s="43"/>
      <c r="BW50" s="43"/>
      <c r="BX50" s="43"/>
    </row>
    <row r="51" spans="1:76" s="60" customFormat="1" ht="10.5" customHeight="1" x14ac:dyDescent="0.3">
      <c r="A51" s="43"/>
      <c r="B51" s="177"/>
      <c r="C51" s="178"/>
      <c r="D51" s="178"/>
      <c r="E51" s="178"/>
      <c r="F51" s="178"/>
      <c r="G51" s="178"/>
      <c r="H51" s="178"/>
      <c r="I51" s="178"/>
      <c r="J51" s="178"/>
      <c r="K51" s="178"/>
      <c r="L51" s="178"/>
      <c r="M51" s="178"/>
      <c r="N51" s="178"/>
      <c r="O51" s="178"/>
      <c r="P51" s="178"/>
      <c r="Q51" s="178"/>
      <c r="R51" s="178"/>
      <c r="S51" s="178"/>
      <c r="T51" s="178"/>
      <c r="U51" s="179"/>
      <c r="V51" s="108"/>
      <c r="W51" s="109"/>
      <c r="X51" s="109"/>
      <c r="Y51" s="109"/>
      <c r="Z51" s="109"/>
      <c r="AA51" s="109"/>
      <c r="AB51" s="110"/>
      <c r="AC51" s="104"/>
      <c r="AD51" s="104"/>
      <c r="AE51" s="104"/>
      <c r="AF51" s="104"/>
      <c r="AG51" s="104"/>
      <c r="AH51" s="104"/>
      <c r="AI51" s="104"/>
      <c r="AJ51" s="105" t="s">
        <v>85</v>
      </c>
      <c r="AK51" s="106"/>
      <c r="AL51" s="106"/>
      <c r="AM51" s="106"/>
      <c r="AN51" s="106"/>
      <c r="AO51" s="106"/>
      <c r="AP51" s="107"/>
      <c r="AQ51" s="105" t="s">
        <v>86</v>
      </c>
      <c r="AR51" s="106"/>
      <c r="AS51" s="106"/>
      <c r="AT51" s="106"/>
      <c r="AU51" s="106"/>
      <c r="AV51" s="107"/>
      <c r="AW51" s="108"/>
      <c r="AX51" s="109"/>
      <c r="AY51" s="109"/>
      <c r="AZ51" s="109"/>
      <c r="BA51" s="109"/>
      <c r="BB51" s="109"/>
      <c r="BC51" s="110"/>
      <c r="BD51" s="104"/>
      <c r="BE51" s="104"/>
      <c r="BF51" s="104"/>
      <c r="BG51" s="104"/>
      <c r="BH51" s="104"/>
      <c r="BI51" s="104"/>
      <c r="BJ51" s="104"/>
      <c r="BK51" s="104"/>
      <c r="BL51" s="104"/>
      <c r="BM51" s="104"/>
      <c r="BN51" s="104"/>
      <c r="BO51" s="104"/>
      <c r="BP51" s="104"/>
      <c r="BQ51" s="171"/>
      <c r="BR51" s="172"/>
      <c r="BS51" s="172"/>
      <c r="BT51" s="172"/>
      <c r="BU51" s="173"/>
      <c r="BV51" s="43"/>
      <c r="BW51" s="43"/>
      <c r="BX51" s="43"/>
    </row>
    <row r="52" spans="1:76" s="65" customFormat="1" ht="22.2" customHeight="1" x14ac:dyDescent="0.3">
      <c r="A52" s="93"/>
      <c r="B52" s="144"/>
      <c r="C52" s="145"/>
      <c r="D52" s="145"/>
      <c r="E52" s="145"/>
      <c r="F52" s="145"/>
      <c r="G52" s="145"/>
      <c r="H52" s="145"/>
      <c r="I52" s="145"/>
      <c r="J52" s="145"/>
      <c r="K52" s="145"/>
      <c r="L52" s="145"/>
      <c r="M52" s="145"/>
      <c r="N52" s="145"/>
      <c r="O52" s="145"/>
      <c r="P52" s="145"/>
      <c r="Q52" s="145"/>
      <c r="R52" s="145"/>
      <c r="S52" s="145"/>
      <c r="T52" s="145"/>
      <c r="U52" s="146"/>
      <c r="V52" s="111"/>
      <c r="W52" s="112"/>
      <c r="X52" s="112"/>
      <c r="Y52" s="112"/>
      <c r="Z52" s="112"/>
      <c r="AA52" s="112"/>
      <c r="AB52" s="113"/>
      <c r="AC52" s="104"/>
      <c r="AD52" s="104"/>
      <c r="AE52" s="104"/>
      <c r="AF52" s="104"/>
      <c r="AG52" s="104"/>
      <c r="AH52" s="104"/>
      <c r="AI52" s="104"/>
      <c r="AJ52" s="111"/>
      <c r="AK52" s="112"/>
      <c r="AL52" s="112"/>
      <c r="AM52" s="112"/>
      <c r="AN52" s="112"/>
      <c r="AO52" s="112"/>
      <c r="AP52" s="113"/>
      <c r="AQ52" s="111"/>
      <c r="AR52" s="112"/>
      <c r="AS52" s="112"/>
      <c r="AT52" s="112"/>
      <c r="AU52" s="112"/>
      <c r="AV52" s="113"/>
      <c r="AW52" s="111"/>
      <c r="AX52" s="112"/>
      <c r="AY52" s="112"/>
      <c r="AZ52" s="112"/>
      <c r="BA52" s="112"/>
      <c r="BB52" s="112"/>
      <c r="BC52" s="113"/>
      <c r="BD52" s="104"/>
      <c r="BE52" s="104"/>
      <c r="BF52" s="104"/>
      <c r="BG52" s="104"/>
      <c r="BH52" s="104"/>
      <c r="BI52" s="104"/>
      <c r="BJ52" s="104"/>
      <c r="BK52" s="104"/>
      <c r="BL52" s="104"/>
      <c r="BM52" s="104"/>
      <c r="BN52" s="104"/>
      <c r="BO52" s="104"/>
      <c r="BP52" s="104"/>
      <c r="BQ52" s="174"/>
      <c r="BR52" s="175"/>
      <c r="BS52" s="175"/>
      <c r="BT52" s="175"/>
      <c r="BU52" s="176"/>
      <c r="BV52" s="93"/>
      <c r="BW52" s="93"/>
      <c r="BX52" s="93"/>
    </row>
    <row r="53" spans="1:76" ht="59.25" customHeight="1" x14ac:dyDescent="0.3">
      <c r="A53" s="43"/>
      <c r="B53" s="105" t="s">
        <v>73</v>
      </c>
      <c r="C53" s="106"/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6"/>
      <c r="O53" s="82"/>
      <c r="P53" s="82"/>
      <c r="Q53" s="82"/>
      <c r="R53" s="82"/>
      <c r="S53" s="82"/>
      <c r="T53" s="82"/>
      <c r="U53" s="83"/>
      <c r="V53" s="189" t="s">
        <v>90</v>
      </c>
      <c r="W53" s="190"/>
      <c r="X53" s="190"/>
      <c r="Y53" s="190"/>
      <c r="Z53" s="190"/>
      <c r="AA53" s="190"/>
      <c r="AB53" s="191"/>
      <c r="AC53" s="128">
        <f ca="1">IF($V$53="В",ROUND(RANDBETWEEN(30,33)/1000,3),IF($V$53="А",ROUND(RANDBETWEEN(60,66)/1000,3),"буква"))</f>
        <v>3.2000000000000001E-2</v>
      </c>
      <c r="AD53" s="129"/>
      <c r="AE53" s="129"/>
      <c r="AF53" s="129"/>
      <c r="AG53" s="129"/>
      <c r="AH53" s="129"/>
      <c r="AI53" s="130"/>
      <c r="AJ53" s="199" t="str">
        <f>Данные!B6</f>
        <v>59,604</v>
      </c>
      <c r="AK53" s="199"/>
      <c r="AL53" s="199"/>
      <c r="AM53" s="199"/>
      <c r="AN53" s="199"/>
      <c r="AO53" s="199"/>
      <c r="AP53" s="90"/>
      <c r="AQ53" s="198">
        <f ca="1">AJ53+AW53</f>
        <v>59.610999999999997</v>
      </c>
      <c r="AR53" s="198"/>
      <c r="AS53" s="198"/>
      <c r="AT53" s="198"/>
      <c r="AU53" s="198"/>
      <c r="AV53" s="198"/>
      <c r="AW53" s="128">
        <f ca="1">ROUNDUP(AC53*720/3600,3)</f>
        <v>7.0000000000000001E-3</v>
      </c>
      <c r="AX53" s="129"/>
      <c r="AY53" s="129"/>
      <c r="AZ53" s="129"/>
      <c r="BA53" s="129"/>
      <c r="BB53" s="129"/>
      <c r="BC53" s="130"/>
      <c r="BD53" s="125">
        <f ca="1">AW53+RANDBETWEEN(-2,3)/10000</f>
        <v>7.1999999999999998E-3</v>
      </c>
      <c r="BE53" s="126"/>
      <c r="BF53" s="126"/>
      <c r="BG53" s="126"/>
      <c r="BH53" s="126"/>
      <c r="BI53" s="126"/>
      <c r="BJ53" s="127"/>
      <c r="BK53" s="101">
        <f ca="1">ROUND(((AW53-BD53)/BD53)*100,1)</f>
        <v>-2.8</v>
      </c>
      <c r="BL53" s="102"/>
      <c r="BM53" s="102"/>
      <c r="BN53" s="102"/>
      <c r="BO53" s="102"/>
      <c r="BP53" s="103"/>
      <c r="BQ53" s="185" t="s">
        <v>69</v>
      </c>
      <c r="BR53" s="186"/>
      <c r="BS53" s="88"/>
      <c r="BT53" s="136">
        <v>5</v>
      </c>
      <c r="BU53" s="137"/>
      <c r="BV53" s="43"/>
      <c r="BW53" s="43"/>
      <c r="BX53" s="43"/>
    </row>
    <row r="54" spans="1:76" s="60" customFormat="1" ht="55.5" customHeight="1" x14ac:dyDescent="0.3">
      <c r="A54" s="43"/>
      <c r="B54" s="105" t="s">
        <v>224</v>
      </c>
      <c r="C54" s="106"/>
      <c r="D54" s="106"/>
      <c r="E54" s="106"/>
      <c r="F54" s="106"/>
      <c r="G54" s="106"/>
      <c r="H54" s="106"/>
      <c r="I54" s="106"/>
      <c r="J54" s="106"/>
      <c r="K54" s="106"/>
      <c r="L54" s="106"/>
      <c r="M54" s="106"/>
      <c r="N54" s="106"/>
      <c r="O54" s="94"/>
      <c r="P54" s="94"/>
      <c r="Q54" s="94"/>
      <c r="R54" s="94"/>
      <c r="S54" s="94"/>
      <c r="T54" s="94"/>
      <c r="U54" s="95"/>
      <c r="V54" s="192"/>
      <c r="W54" s="193"/>
      <c r="X54" s="193"/>
      <c r="Y54" s="193"/>
      <c r="Z54" s="193"/>
      <c r="AA54" s="193"/>
      <c r="AB54" s="194"/>
      <c r="AC54" s="128">
        <f ca="1">IF($V$53="А",ROUND(RANDBETWEEN(155,175)/1000,3),IF($V$53="В",ROUND(RANDBETWEEN(125,135)/1000,3),"буква"))</f>
        <v>0.129</v>
      </c>
      <c r="AD54" s="129"/>
      <c r="AE54" s="129"/>
      <c r="AF54" s="129"/>
      <c r="AG54" s="129"/>
      <c r="AH54" s="129"/>
      <c r="AI54" s="130"/>
      <c r="AJ54" s="183">
        <f ca="1">AQ53+RANDBETWEEN(4,7)/1000</f>
        <v>59.616</v>
      </c>
      <c r="AK54" s="183"/>
      <c r="AL54" s="183"/>
      <c r="AM54" s="183"/>
      <c r="AN54" s="183"/>
      <c r="AO54" s="183"/>
      <c r="AP54" s="90"/>
      <c r="AQ54" s="128">
        <f t="shared" ref="AQ54:AQ55" ca="1" si="0">AJ54+AW54</f>
        <v>59.628999999999998</v>
      </c>
      <c r="AR54" s="129"/>
      <c r="AS54" s="129"/>
      <c r="AT54" s="129"/>
      <c r="AU54" s="129"/>
      <c r="AV54" s="130"/>
      <c r="AW54" s="128">
        <f ca="1">ROUNDUP(AC54*360/3600,3)</f>
        <v>1.3000000000000001E-2</v>
      </c>
      <c r="AX54" s="129"/>
      <c r="AY54" s="129"/>
      <c r="AZ54" s="129"/>
      <c r="BA54" s="129"/>
      <c r="BB54" s="129"/>
      <c r="BC54" s="130"/>
      <c r="BD54" s="125">
        <f ca="1">AW54+RANDBETWEEN(-2,2)/10000</f>
        <v>1.3100000000000001E-2</v>
      </c>
      <c r="BE54" s="126"/>
      <c r="BF54" s="126"/>
      <c r="BG54" s="126"/>
      <c r="BH54" s="126"/>
      <c r="BI54" s="126"/>
      <c r="BJ54" s="127"/>
      <c r="BK54" s="101">
        <f ca="1">ROUND(((AW54-BD54)/BD54)*100,1)</f>
        <v>-0.8</v>
      </c>
      <c r="BL54" s="102"/>
      <c r="BM54" s="102"/>
      <c r="BN54" s="102"/>
      <c r="BO54" s="102"/>
      <c r="BP54" s="103"/>
      <c r="BQ54" s="185" t="s">
        <v>69</v>
      </c>
      <c r="BR54" s="186"/>
      <c r="BS54" s="88"/>
      <c r="BT54" s="136">
        <v>2</v>
      </c>
      <c r="BU54" s="137"/>
      <c r="BV54" s="43"/>
      <c r="BW54" s="43"/>
      <c r="BX54" s="43"/>
    </row>
    <row r="55" spans="1:76" s="60" customFormat="1" ht="45.75" customHeight="1" x14ac:dyDescent="0.3">
      <c r="A55" s="43"/>
      <c r="B55" s="187" t="s">
        <v>74</v>
      </c>
      <c r="C55" s="188"/>
      <c r="D55" s="188"/>
      <c r="E55" s="188"/>
      <c r="F55" s="188"/>
      <c r="G55" s="188"/>
      <c r="H55" s="188"/>
      <c r="I55" s="188"/>
      <c r="J55" s="188"/>
      <c r="K55" s="188"/>
      <c r="L55" s="188"/>
      <c r="M55" s="188"/>
      <c r="N55" s="188"/>
      <c r="O55" s="86"/>
      <c r="P55" s="86"/>
      <c r="Q55" s="86"/>
      <c r="R55" s="86"/>
      <c r="S55" s="86"/>
      <c r="T55" s="86"/>
      <c r="U55" s="87"/>
      <c r="V55" s="195"/>
      <c r="W55" s="196"/>
      <c r="X55" s="196"/>
      <c r="Y55" s="196"/>
      <c r="Z55" s="196"/>
      <c r="AA55" s="196"/>
      <c r="AB55" s="197"/>
      <c r="AC55" s="147">
        <f ca="1">ROUND(RANDBETWEEN(890,960)/1000,3)</f>
        <v>0.90800000000000003</v>
      </c>
      <c r="AD55" s="148"/>
      <c r="AE55" s="148"/>
      <c r="AF55" s="148"/>
      <c r="AG55" s="148"/>
      <c r="AH55" s="148"/>
      <c r="AI55" s="149"/>
      <c r="AJ55" s="183">
        <f ca="1">AQ54+RANDBETWEEN(15,18)/1000</f>
        <v>59.643999999999998</v>
      </c>
      <c r="AK55" s="183"/>
      <c r="AL55" s="183"/>
      <c r="AM55" s="183"/>
      <c r="AN55" s="183"/>
      <c r="AO55" s="183"/>
      <c r="AP55" s="90"/>
      <c r="AQ55" s="128">
        <f t="shared" ca="1" si="0"/>
        <v>59.674999999999997</v>
      </c>
      <c r="AR55" s="129"/>
      <c r="AS55" s="129"/>
      <c r="AT55" s="129"/>
      <c r="AU55" s="129"/>
      <c r="AV55" s="130"/>
      <c r="AW55" s="128">
        <f ca="1">ROUNDUP(AC55*120/3600,3)</f>
        <v>3.1E-2</v>
      </c>
      <c r="AX55" s="129"/>
      <c r="AY55" s="129"/>
      <c r="AZ55" s="129"/>
      <c r="BA55" s="129"/>
      <c r="BB55" s="129"/>
      <c r="BC55" s="130"/>
      <c r="BD55" s="125">
        <f ca="1">AW55+RANDBETWEEN(-5,5)/10000</f>
        <v>3.15E-2</v>
      </c>
      <c r="BE55" s="150"/>
      <c r="BF55" s="150"/>
      <c r="BG55" s="150"/>
      <c r="BH55" s="150"/>
      <c r="BI55" s="150"/>
      <c r="BJ55" s="151"/>
      <c r="BK55" s="101">
        <f ca="1">ROUND(((AW55-BD55)/BD55)*100,1)</f>
        <v>-1.6</v>
      </c>
      <c r="BL55" s="131"/>
      <c r="BM55" s="131"/>
      <c r="BN55" s="131"/>
      <c r="BO55" s="131"/>
      <c r="BP55" s="132"/>
      <c r="BQ55" s="185" t="s">
        <v>69</v>
      </c>
      <c r="BR55" s="186"/>
      <c r="BS55" s="85"/>
      <c r="BT55" s="136">
        <v>2</v>
      </c>
      <c r="BU55" s="137"/>
      <c r="BV55" s="43"/>
      <c r="BW55" s="43"/>
      <c r="BX55" s="43"/>
    </row>
    <row r="56" spans="1:76" s="60" customFormat="1" ht="24.75" customHeight="1" x14ac:dyDescent="0.3">
      <c r="A56" s="43"/>
      <c r="B56" s="79" t="s">
        <v>214</v>
      </c>
      <c r="C56" s="79"/>
      <c r="D56" s="80" t="str">
        <f>Данные!B5</f>
        <v>0,00814</v>
      </c>
      <c r="E56" s="79"/>
      <c r="F56" s="79"/>
      <c r="G56" s="81"/>
      <c r="H56" s="184" t="s">
        <v>215</v>
      </c>
      <c r="I56" s="184"/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  <c r="X56" s="184"/>
      <c r="Y56" s="184"/>
      <c r="Z56" s="184"/>
      <c r="AA56" s="184"/>
      <c r="AB56" s="184"/>
      <c r="AC56" s="184"/>
      <c r="AD56" s="184"/>
      <c r="AE56" s="184"/>
      <c r="AF56" s="184"/>
      <c r="AG56" s="184"/>
      <c r="AH56" s="184"/>
      <c r="AI56" s="184"/>
      <c r="AJ56" s="184"/>
      <c r="AK56" s="184"/>
      <c r="AL56" s="184"/>
      <c r="AM56" s="184"/>
      <c r="AN56" s="184"/>
      <c r="AO56" s="184"/>
      <c r="AP56" s="184"/>
      <c r="AQ56" s="184"/>
      <c r="AR56" s="184"/>
      <c r="AS56" s="184"/>
      <c r="AT56" s="184"/>
      <c r="AU56" s="184"/>
      <c r="AV56" s="184"/>
      <c r="AW56" s="184"/>
      <c r="AX56" s="184"/>
      <c r="AY56" s="184"/>
      <c r="AZ56" s="184"/>
      <c r="BA56" s="184"/>
      <c r="BB56" s="184"/>
      <c r="BC56" s="184"/>
      <c r="BD56" s="184"/>
      <c r="BE56" s="184"/>
      <c r="BF56" s="184"/>
      <c r="BG56" s="184"/>
      <c r="BH56" s="184"/>
      <c r="BI56" s="184"/>
      <c r="BJ56" s="184"/>
      <c r="BK56" s="184"/>
      <c r="BL56" s="184"/>
      <c r="BM56" s="184"/>
      <c r="BN56" s="184"/>
      <c r="BO56" s="184"/>
      <c r="BP56" s="184"/>
      <c r="BQ56" s="184"/>
      <c r="BR56" s="184"/>
      <c r="BS56" s="184"/>
      <c r="BT56" s="184"/>
      <c r="BU56" s="184"/>
      <c r="BV56" s="43"/>
      <c r="BW56" s="43"/>
      <c r="BX56" s="43"/>
    </row>
    <row r="57" spans="1:76" s="60" customFormat="1" ht="12" customHeight="1" x14ac:dyDescent="0.3">
      <c r="A57" s="43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L57" s="89"/>
      <c r="BM57" s="89"/>
      <c r="BN57" s="89"/>
      <c r="BO57" s="89"/>
      <c r="BP57" s="89"/>
      <c r="BQ57" s="97"/>
      <c r="BR57" s="97"/>
      <c r="BS57" s="97"/>
      <c r="BT57" s="97"/>
      <c r="BU57" s="97"/>
      <c r="BV57" s="43"/>
      <c r="BW57" s="43"/>
      <c r="BX57" s="43"/>
    </row>
    <row r="58" spans="1:76" ht="13.5" customHeight="1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</row>
    <row r="59" spans="1:76" ht="13.5" customHeight="1" x14ac:dyDescent="0.3">
      <c r="A59" s="43"/>
      <c r="B59" s="134" t="s">
        <v>8</v>
      </c>
      <c r="C59" s="134"/>
      <c r="D59" s="134"/>
      <c r="E59" s="134"/>
      <c r="F59" s="134"/>
      <c r="G59" s="134"/>
      <c r="H59" s="134"/>
      <c r="I59" s="134"/>
      <c r="J59" s="134"/>
      <c r="K59" s="134"/>
      <c r="L59" s="134"/>
      <c r="M59" s="134"/>
      <c r="N59" s="134"/>
      <c r="O59" s="134"/>
      <c r="P59" s="134"/>
      <c r="Q59" s="134"/>
      <c r="R59" s="134"/>
      <c r="S59" s="134"/>
      <c r="T59" s="134"/>
      <c r="U59" s="134"/>
      <c r="V59" s="134"/>
      <c r="W59" s="134"/>
      <c r="X59" s="134"/>
      <c r="Y59" s="134"/>
      <c r="Z59" s="134"/>
      <c r="AA59" s="134"/>
      <c r="AB59" s="134"/>
      <c r="AC59" s="134"/>
      <c r="AD59" s="134"/>
      <c r="AE59" s="134"/>
      <c r="AF59" s="134"/>
      <c r="AG59" s="134"/>
      <c r="AH59" s="134"/>
      <c r="AI59" s="134"/>
      <c r="AJ59" s="134"/>
      <c r="AK59" s="134"/>
      <c r="AL59" s="134"/>
      <c r="AM59" s="134"/>
      <c r="AN59" s="134"/>
      <c r="AO59" s="134"/>
      <c r="AP59" s="134"/>
      <c r="AQ59" s="134"/>
      <c r="AR59" s="134"/>
      <c r="AS59" s="134"/>
      <c r="AT59" s="134"/>
      <c r="AU59" s="134"/>
      <c r="AV59" s="134"/>
      <c r="AW59" s="134"/>
      <c r="AX59" s="134"/>
      <c r="AY59" s="134"/>
      <c r="AZ59" s="134"/>
      <c r="BA59" s="134"/>
      <c r="BB59" s="134"/>
      <c r="BC59" s="134"/>
      <c r="BD59" s="134"/>
      <c r="BE59" s="134"/>
      <c r="BF59" s="134"/>
      <c r="BG59" s="134"/>
      <c r="BH59" s="134"/>
      <c r="BI59" s="134"/>
      <c r="BJ59" s="134"/>
      <c r="BK59" s="134"/>
      <c r="BL59" s="134"/>
      <c r="BM59" s="134"/>
      <c r="BN59" s="134"/>
      <c r="BO59" s="134"/>
      <c r="BP59" s="134"/>
      <c r="BQ59" s="134"/>
      <c r="BR59" s="134"/>
      <c r="BS59" s="134"/>
      <c r="BT59" s="134"/>
      <c r="BU59" s="43"/>
      <c r="BV59" s="43"/>
      <c r="BW59" s="43"/>
      <c r="BX59" s="43"/>
    </row>
    <row r="60" spans="1:76" ht="13.5" customHeight="1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</row>
    <row r="61" spans="1:76" ht="13.5" customHeight="1" x14ac:dyDescent="0.3">
      <c r="A61" s="122" t="s">
        <v>225</v>
      </c>
      <c r="B61" s="123"/>
      <c r="C61" s="123"/>
      <c r="D61" s="123"/>
      <c r="E61" s="123"/>
      <c r="F61" s="123"/>
      <c r="G61" s="123"/>
      <c r="H61" s="123"/>
      <c r="I61" s="123"/>
      <c r="J61" s="123"/>
      <c r="K61" s="123"/>
      <c r="L61" s="123"/>
      <c r="M61" s="123"/>
      <c r="N61" s="123"/>
      <c r="O61" s="123"/>
      <c r="P61" s="123"/>
      <c r="Q61" s="123"/>
      <c r="R61" s="123"/>
      <c r="S61" s="123"/>
      <c r="T61" s="123"/>
      <c r="U61" s="123"/>
      <c r="V61" s="123"/>
      <c r="W61" s="123"/>
      <c r="X61" s="123"/>
      <c r="Y61" s="123"/>
      <c r="Z61" s="123"/>
      <c r="AA61" s="123"/>
      <c r="AB61" s="123"/>
      <c r="AC61" s="123"/>
      <c r="AD61" s="123"/>
      <c r="AE61" s="123"/>
      <c r="AF61" s="123"/>
      <c r="AG61" s="123"/>
      <c r="AH61" s="123"/>
      <c r="AI61" s="123"/>
      <c r="AJ61" s="123"/>
      <c r="AK61" s="123"/>
      <c r="AL61" s="123"/>
      <c r="AM61" s="123"/>
      <c r="AN61" s="123"/>
      <c r="AO61" s="123"/>
      <c r="AP61" s="123"/>
      <c r="AQ61" s="123"/>
      <c r="AR61" s="123"/>
      <c r="AS61" s="123"/>
      <c r="AT61" s="123"/>
      <c r="AU61" s="123"/>
      <c r="AV61" s="123"/>
      <c r="AW61" s="123"/>
      <c r="AX61" s="123"/>
      <c r="AY61" s="123"/>
      <c r="AZ61" s="123"/>
      <c r="BA61" s="123"/>
      <c r="BB61" s="123"/>
      <c r="BC61" s="123"/>
      <c r="BD61" s="123"/>
      <c r="BE61" s="123"/>
      <c r="BF61" s="123"/>
      <c r="BG61" s="123"/>
      <c r="BH61" s="123"/>
      <c r="BI61" s="123"/>
      <c r="BJ61" s="123"/>
      <c r="BK61" s="123"/>
      <c r="BL61" s="123"/>
      <c r="BM61" s="123"/>
      <c r="BN61" s="123"/>
      <c r="BO61" s="123"/>
      <c r="BP61" s="123"/>
      <c r="BQ61" s="123"/>
      <c r="BR61" s="123"/>
      <c r="BS61" s="123"/>
      <c r="BT61" s="123"/>
      <c r="BU61" s="123"/>
      <c r="BV61" s="123"/>
      <c r="BW61" s="43"/>
      <c r="BX61" s="43"/>
    </row>
    <row r="62" spans="1:76" ht="19.5" customHeight="1" x14ac:dyDescent="0.3">
      <c r="A62" s="123"/>
      <c r="B62" s="123"/>
      <c r="C62" s="123"/>
      <c r="D62" s="123"/>
      <c r="E62" s="123"/>
      <c r="F62" s="123"/>
      <c r="G62" s="123"/>
      <c r="H62" s="123"/>
      <c r="I62" s="123"/>
      <c r="J62" s="123"/>
      <c r="K62" s="123"/>
      <c r="L62" s="123"/>
      <c r="M62" s="123"/>
      <c r="N62" s="123"/>
      <c r="O62" s="123"/>
      <c r="P62" s="123"/>
      <c r="Q62" s="123"/>
      <c r="R62" s="123"/>
      <c r="S62" s="123"/>
      <c r="T62" s="123"/>
      <c r="U62" s="123"/>
      <c r="V62" s="123"/>
      <c r="W62" s="123"/>
      <c r="X62" s="123"/>
      <c r="Y62" s="123"/>
      <c r="Z62" s="123"/>
      <c r="AA62" s="123"/>
      <c r="AB62" s="123"/>
      <c r="AC62" s="123"/>
      <c r="AD62" s="123"/>
      <c r="AE62" s="123"/>
      <c r="AF62" s="123"/>
      <c r="AG62" s="123"/>
      <c r="AH62" s="123"/>
      <c r="AI62" s="123"/>
      <c r="AJ62" s="123"/>
      <c r="AK62" s="123"/>
      <c r="AL62" s="123"/>
      <c r="AM62" s="123"/>
      <c r="AN62" s="123"/>
      <c r="AO62" s="123"/>
      <c r="AP62" s="123"/>
      <c r="AQ62" s="123"/>
      <c r="AR62" s="123"/>
      <c r="AS62" s="123"/>
      <c r="AT62" s="123"/>
      <c r="AU62" s="123"/>
      <c r="AV62" s="123"/>
      <c r="AW62" s="123"/>
      <c r="AX62" s="123"/>
      <c r="AY62" s="123"/>
      <c r="AZ62" s="123"/>
      <c r="BA62" s="123"/>
      <c r="BB62" s="123"/>
      <c r="BC62" s="123"/>
      <c r="BD62" s="123"/>
      <c r="BE62" s="123"/>
      <c r="BF62" s="123"/>
      <c r="BG62" s="123"/>
      <c r="BH62" s="123"/>
      <c r="BI62" s="123"/>
      <c r="BJ62" s="123"/>
      <c r="BK62" s="123"/>
      <c r="BL62" s="123"/>
      <c r="BM62" s="123"/>
      <c r="BN62" s="123"/>
      <c r="BO62" s="123"/>
      <c r="BP62" s="123"/>
      <c r="BQ62" s="123"/>
      <c r="BR62" s="123"/>
      <c r="BS62" s="123"/>
      <c r="BT62" s="123"/>
      <c r="BU62" s="123"/>
      <c r="BV62" s="123"/>
      <c r="BW62" s="43"/>
      <c r="BX62" s="43"/>
    </row>
    <row r="63" spans="1:76" s="33" customFormat="1" ht="34.5" customHeight="1" x14ac:dyDescent="0.3">
      <c r="A63" s="1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1" t="s">
        <v>9</v>
      </c>
      <c r="B64" s="43"/>
      <c r="C64" s="43"/>
      <c r="D64" s="43"/>
      <c r="E64" s="43"/>
      <c r="F64" s="43"/>
      <c r="G64" s="43"/>
      <c r="H64" s="43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2"/>
      <c r="V64" s="140" t="str">
        <f>Данные!C9</f>
        <v>Стариков С.В.</v>
      </c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92"/>
      <c r="AI64" s="92"/>
      <c r="AJ64" s="92"/>
      <c r="AK64" s="92"/>
      <c r="AL64" s="92"/>
      <c r="AM64" s="92"/>
      <c r="AN64" s="92"/>
      <c r="AO64" s="92"/>
      <c r="AP64" s="92"/>
      <c r="AQ64" s="1" t="s">
        <v>11</v>
      </c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135">
        <f>Данные!B10</f>
        <v>45930</v>
      </c>
      <c r="BC64" s="135"/>
      <c r="BD64" s="135"/>
      <c r="BE64" s="135"/>
      <c r="BF64" s="135"/>
      <c r="BG64" s="135"/>
      <c r="BH64" s="135"/>
      <c r="BI64" s="135"/>
      <c r="BJ64" s="135"/>
      <c r="BK64" s="135"/>
      <c r="BL64" s="135"/>
      <c r="BM64" s="135"/>
      <c r="BN64" s="135"/>
      <c r="BO64" s="135"/>
      <c r="BP64" s="135"/>
      <c r="BQ64" s="135"/>
      <c r="BR64" s="135"/>
      <c r="BS64" s="135"/>
      <c r="BT64" s="135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133" t="s">
        <v>10</v>
      </c>
      <c r="J65" s="133"/>
      <c r="K65" s="133"/>
      <c r="L65" s="133"/>
      <c r="M65" s="133"/>
      <c r="N65" s="133"/>
      <c r="O65" s="133"/>
      <c r="P65" s="43"/>
      <c r="Q65" s="43"/>
      <c r="R65" s="43"/>
      <c r="S65" s="43"/>
      <c r="T65" s="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/>
    <row r="67" spans="1:76" ht="13.5" customHeight="1" x14ac:dyDescent="0.3">
      <c r="I67" s="2"/>
      <c r="J67" s="2"/>
      <c r="K67" s="2"/>
      <c r="L67" s="2"/>
      <c r="M67" s="2"/>
      <c r="N67" s="2"/>
      <c r="O67" s="1"/>
      <c r="X67" s="121"/>
      <c r="Y67" s="121"/>
      <c r="Z67" s="121"/>
      <c r="AA67" s="121"/>
      <c r="AB67" s="121"/>
      <c r="AC67" s="121"/>
      <c r="AD67" s="121"/>
      <c r="AE67" s="121"/>
      <c r="AF67" s="121"/>
      <c r="AG67" s="121"/>
      <c r="AH67" s="121"/>
      <c r="AI67" s="121"/>
      <c r="AJ67" s="121"/>
      <c r="AK67" s="121"/>
      <c r="AL67" s="121"/>
      <c r="AM67" s="121"/>
      <c r="AN67" s="121"/>
      <c r="AO67" s="121"/>
    </row>
    <row r="68" spans="1:76" ht="13.5" customHeight="1" x14ac:dyDescent="0.3">
      <c r="I68" s="2"/>
      <c r="J68" s="2"/>
      <c r="K68" s="2"/>
      <c r="L68" s="2"/>
      <c r="M68" s="2"/>
      <c r="N68" s="2"/>
      <c r="O68" s="2"/>
    </row>
    <row r="69" spans="1:76" ht="13.5" customHeight="1" x14ac:dyDescent="0.3">
      <c r="A69" s="1"/>
    </row>
    <row r="70" spans="1:76" ht="13.5" customHeight="1" x14ac:dyDescent="0.3"/>
    <row r="71" spans="1:76" ht="13.5" customHeight="1" x14ac:dyDescent="0.3"/>
    <row r="72" spans="1:76" ht="13.5" customHeight="1" x14ac:dyDescent="0.3"/>
    <row r="73" spans="1:76" ht="13.5" customHeight="1" x14ac:dyDescent="0.3"/>
    <row r="74" spans="1:76" ht="13.5" customHeight="1" x14ac:dyDescent="0.3"/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</sheetData>
  <mergeCells count="76">
    <mergeCell ref="AJ55:AO55"/>
    <mergeCell ref="H56:BU56"/>
    <mergeCell ref="B53:N53"/>
    <mergeCell ref="BQ53:BR53"/>
    <mergeCell ref="B55:N55"/>
    <mergeCell ref="B54:N54"/>
    <mergeCell ref="V53:AB55"/>
    <mergeCell ref="BQ54:BR54"/>
    <mergeCell ref="BQ55:BR55"/>
    <mergeCell ref="BT55:BU55"/>
    <mergeCell ref="AQ53:AV53"/>
    <mergeCell ref="AJ53:AO53"/>
    <mergeCell ref="AJ54:AO54"/>
    <mergeCell ref="AQ54:AV54"/>
    <mergeCell ref="AQ55:AV55"/>
    <mergeCell ref="A5:BV5"/>
    <mergeCell ref="A1:BV1"/>
    <mergeCell ref="A2:BV2"/>
    <mergeCell ref="A3:BV3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V64:AG64"/>
    <mergeCell ref="A12:BX12"/>
    <mergeCell ref="V48:BU49"/>
    <mergeCell ref="AC55:AI55"/>
    <mergeCell ref="BD55:BJ55"/>
    <mergeCell ref="AC53:AI53"/>
    <mergeCell ref="AW55:BC55"/>
    <mergeCell ref="AC54:AI54"/>
    <mergeCell ref="BK53:BP53"/>
    <mergeCell ref="BD54:BJ54"/>
    <mergeCell ref="AW54:BC54"/>
    <mergeCell ref="AF26:AO27"/>
    <mergeCell ref="AP26:AV27"/>
    <mergeCell ref="AF29:AO29"/>
    <mergeCell ref="AP29:AV29"/>
    <mergeCell ref="X67:AO67"/>
    <mergeCell ref="V50:AB52"/>
    <mergeCell ref="A61:BV62"/>
    <mergeCell ref="L33:BN33"/>
    <mergeCell ref="D37:BU37"/>
    <mergeCell ref="BD53:BJ53"/>
    <mergeCell ref="AW53:BC53"/>
    <mergeCell ref="BK55:BP55"/>
    <mergeCell ref="I65:O65"/>
    <mergeCell ref="B59:BT59"/>
    <mergeCell ref="BB64:BT64"/>
    <mergeCell ref="AJ51:AP52"/>
    <mergeCell ref="AQ51:AV52"/>
    <mergeCell ref="AC50:AI52"/>
    <mergeCell ref="BT53:BU53"/>
    <mergeCell ref="BT54:BU54"/>
    <mergeCell ref="AP31:AV31"/>
    <mergeCell ref="AF28:AO28"/>
    <mergeCell ref="AP28:AV28"/>
    <mergeCell ref="AF30:AO30"/>
    <mergeCell ref="AP30:AV30"/>
    <mergeCell ref="AF31:AO31"/>
    <mergeCell ref="AX28:BE28"/>
    <mergeCell ref="AX29:BE29"/>
    <mergeCell ref="AX30:BF30"/>
    <mergeCell ref="AX31:BW31"/>
    <mergeCell ref="BK54:BP54"/>
    <mergeCell ref="BD50:BJ52"/>
    <mergeCell ref="AW50:BC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46"/>
  <sheetViews>
    <sheetView zoomScale="91" zoomScaleNormal="91" workbookViewId="0">
      <selection activeCell="B4" sqref="B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66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234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2019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235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57.75" customHeight="1" x14ac:dyDescent="0.35">
      <c r="A5" s="78" t="s">
        <v>213</v>
      </c>
      <c r="B5" s="31" t="s">
        <v>231</v>
      </c>
      <c r="C5" s="13"/>
      <c r="F5" s="73"/>
      <c r="G5" s="73"/>
      <c r="H5" s="72"/>
      <c r="L5" s="25"/>
      <c r="T5" s="6"/>
      <c r="U5" s="6"/>
    </row>
    <row r="6" spans="1:21" s="60" customFormat="1" ht="21.75" customHeight="1" x14ac:dyDescent="0.35">
      <c r="A6" s="9" t="s">
        <v>87</v>
      </c>
      <c r="B6" s="31" t="s">
        <v>236</v>
      </c>
      <c r="C6" s="13"/>
      <c r="F6" s="73"/>
      <c r="G6" s="73"/>
      <c r="H6" s="72"/>
      <c r="L6" s="25"/>
      <c r="T6" s="6"/>
      <c r="U6" s="6"/>
    </row>
    <row r="7" spans="1:21" ht="20.25" customHeight="1" x14ac:dyDescent="0.35">
      <c r="A7" s="9" t="s">
        <v>40</v>
      </c>
      <c r="B7" s="31" t="s">
        <v>233</v>
      </c>
      <c r="C7" s="13"/>
      <c r="D7" s="13"/>
      <c r="E7" s="13"/>
      <c r="F7" s="72" t="s">
        <v>59</v>
      </c>
      <c r="G7" s="72" t="s">
        <v>58</v>
      </c>
      <c r="H7" s="72" t="s">
        <v>61</v>
      </c>
    </row>
    <row r="8" spans="1:21" ht="20.25" customHeight="1" x14ac:dyDescent="0.35">
      <c r="A8" s="9" t="s">
        <v>39</v>
      </c>
      <c r="B8" s="31" t="s">
        <v>237</v>
      </c>
      <c r="C8" s="13"/>
      <c r="D8" s="201" t="s">
        <v>41</v>
      </c>
      <c r="E8" s="201"/>
      <c r="F8" s="72" t="s">
        <v>60</v>
      </c>
      <c r="G8" s="72" t="s">
        <v>50</v>
      </c>
      <c r="H8" s="72" t="s">
        <v>62</v>
      </c>
    </row>
    <row r="9" spans="1:21" ht="18.75" customHeight="1" x14ac:dyDescent="0.35">
      <c r="A9" s="9" t="s">
        <v>27</v>
      </c>
      <c r="B9" s="67" t="s">
        <v>229</v>
      </c>
      <c r="C9" s="13" t="s">
        <v>230</v>
      </c>
      <c r="D9" s="201" t="s">
        <v>106</v>
      </c>
      <c r="E9" s="201"/>
      <c r="F9" s="72" t="s">
        <v>64</v>
      </c>
      <c r="G9" s="73" t="s">
        <v>65</v>
      </c>
      <c r="H9" s="72" t="s">
        <v>63</v>
      </c>
    </row>
    <row r="10" spans="1:21" ht="18" x14ac:dyDescent="0.35">
      <c r="A10" s="10" t="s">
        <v>14</v>
      </c>
      <c r="B10" s="32">
        <v>45930</v>
      </c>
      <c r="C10" s="13"/>
      <c r="D10" s="13"/>
      <c r="E10" s="13"/>
    </row>
    <row r="11" spans="1:21" ht="18" x14ac:dyDescent="0.35">
      <c r="A11" s="11" t="s">
        <v>15</v>
      </c>
      <c r="B11" s="76">
        <v>23.5</v>
      </c>
      <c r="C11" s="30" t="s">
        <v>38</v>
      </c>
      <c r="D11" s="27"/>
      <c r="E11" s="13"/>
    </row>
    <row r="12" spans="1:21" ht="18" x14ac:dyDescent="0.35">
      <c r="A12" s="11" t="s">
        <v>16</v>
      </c>
      <c r="B12" s="76">
        <v>48</v>
      </c>
      <c r="C12" s="30" t="s">
        <v>48</v>
      </c>
      <c r="D12" s="27"/>
      <c r="E12" s="13"/>
    </row>
    <row r="13" spans="1:21" ht="18" x14ac:dyDescent="0.35">
      <c r="A13" s="11" t="s">
        <v>80</v>
      </c>
      <c r="B13" s="76">
        <v>100.7</v>
      </c>
      <c r="C13" s="27" t="s">
        <v>49</v>
      </c>
      <c r="D13" s="27"/>
      <c r="E13" s="13"/>
    </row>
    <row r="14" spans="1:21" ht="18" x14ac:dyDescent="0.35">
      <c r="A14" s="11" t="s">
        <v>71</v>
      </c>
      <c r="B14" s="16">
        <v>5</v>
      </c>
      <c r="C14" s="30" t="s">
        <v>42</v>
      </c>
      <c r="D14" s="27"/>
      <c r="E14" s="13"/>
    </row>
    <row r="15" spans="1:21" s="60" customFormat="1" ht="18.600000000000001" thickBot="1" x14ac:dyDescent="0.4">
      <c r="A15" s="61" t="s">
        <v>70</v>
      </c>
      <c r="B15" s="64">
        <v>5</v>
      </c>
      <c r="C15" s="30"/>
      <c r="D15" s="27"/>
      <c r="E15" s="13"/>
      <c r="L15" s="25"/>
      <c r="T15" s="6"/>
      <c r="U15" s="6"/>
    </row>
    <row r="16" spans="1:21" ht="18.75" customHeight="1" x14ac:dyDescent="0.35">
      <c r="A16" s="17" t="s">
        <v>26</v>
      </c>
      <c r="B16" s="24"/>
      <c r="C16" s="13"/>
      <c r="D16" s="13"/>
      <c r="E16" s="13"/>
    </row>
    <row r="17" spans="1:24" ht="21" customHeight="1" x14ac:dyDescent="0.4">
      <c r="A17" s="18">
        <f ca="1">TODAY()</f>
        <v>45930</v>
      </c>
      <c r="B17" s="20"/>
      <c r="C17" s="13"/>
      <c r="D17" s="13"/>
      <c r="E17" s="13"/>
    </row>
    <row r="18" spans="1:24" ht="21" x14ac:dyDescent="0.4">
      <c r="B18" s="21"/>
      <c r="C18" s="202"/>
      <c r="D18" s="202"/>
      <c r="E18" s="202"/>
    </row>
    <row r="19" spans="1:24" ht="11.25" customHeight="1" x14ac:dyDescent="0.3">
      <c r="B19" s="19"/>
      <c r="C19" s="12"/>
      <c r="D19" s="12"/>
      <c r="E19" s="12"/>
    </row>
    <row r="20" spans="1:24" ht="22.5" customHeight="1" x14ac:dyDescent="0.3">
      <c r="B20" s="19"/>
      <c r="C20" s="12"/>
      <c r="D20" s="12"/>
      <c r="E20" s="12"/>
    </row>
    <row r="21" spans="1:24" ht="15" customHeight="1" thickBot="1" x14ac:dyDescent="0.45">
      <c r="B21" s="22"/>
      <c r="C21" s="12"/>
      <c r="D21" s="12"/>
      <c r="E21" s="12"/>
    </row>
    <row r="22" spans="1:24" x14ac:dyDescent="0.3">
      <c r="A22" s="2"/>
      <c r="B22" s="2"/>
    </row>
    <row r="23" spans="1:24" ht="29.25" customHeight="1" x14ac:dyDescent="0.4">
      <c r="A23" s="2"/>
      <c r="B23" s="23"/>
    </row>
    <row r="30" spans="1:24" x14ac:dyDescent="0.3">
      <c r="W30" s="51"/>
      <c r="X30" s="2"/>
    </row>
    <row r="31" spans="1:24" ht="45" customHeight="1" x14ac:dyDescent="0.3">
      <c r="W31" s="51"/>
      <c r="X31" s="7"/>
    </row>
    <row r="32" spans="1:24" x14ac:dyDescent="0.3">
      <c r="C32" s="4"/>
      <c r="W32" s="51"/>
      <c r="X32" s="7"/>
    </row>
    <row r="33" spans="23:24" x14ac:dyDescent="0.3">
      <c r="W33" s="53"/>
      <c r="X33" s="2"/>
    </row>
    <row r="34" spans="23:24" x14ac:dyDescent="0.3">
      <c r="W34" s="53"/>
      <c r="X34" s="7"/>
    </row>
    <row r="35" spans="23:24" x14ac:dyDescent="0.3">
      <c r="W35" s="45"/>
      <c r="X35" s="7"/>
    </row>
    <row r="36" spans="23:24" x14ac:dyDescent="0.3">
      <c r="W36" s="51"/>
      <c r="X36" s="7"/>
    </row>
    <row r="37" spans="23:24" x14ac:dyDescent="0.3">
      <c r="W37" s="51"/>
      <c r="X37" s="2"/>
    </row>
    <row r="38" spans="23:24" x14ac:dyDescent="0.3">
      <c r="W38" s="51"/>
      <c r="X38" s="7"/>
    </row>
    <row r="39" spans="23:24" x14ac:dyDescent="0.3">
      <c r="W39" s="44"/>
      <c r="X39" s="7"/>
    </row>
    <row r="40" spans="23:24" x14ac:dyDescent="0.3">
      <c r="W40" s="44"/>
      <c r="X40" s="7"/>
    </row>
    <row r="41" spans="23:24" x14ac:dyDescent="0.3">
      <c r="W41" s="45"/>
      <c r="X41" s="7"/>
    </row>
    <row r="42" spans="23:24" x14ac:dyDescent="0.3">
      <c r="W42" s="45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51"/>
      <c r="X46" s="7"/>
    </row>
    <row r="47" spans="23:24" x14ac:dyDescent="0.3">
      <c r="W47" s="45"/>
      <c r="X47" s="7"/>
    </row>
    <row r="48" spans="23:24" x14ac:dyDescent="0.3">
      <c r="W48" s="53"/>
      <c r="X48" s="7"/>
    </row>
    <row r="49" spans="11:24" x14ac:dyDescent="0.3">
      <c r="W49" s="53"/>
      <c r="X49" s="7"/>
    </row>
    <row r="50" spans="11:24" x14ac:dyDescent="0.3">
      <c r="W50" s="44"/>
      <c r="X50" s="7"/>
    </row>
    <row r="51" spans="11:24" x14ac:dyDescent="0.3">
      <c r="K51">
        <v>1</v>
      </c>
      <c r="L51" s="33">
        <v>2</v>
      </c>
      <c r="M51" s="33">
        <v>3</v>
      </c>
      <c r="N51" s="33">
        <v>4</v>
      </c>
      <c r="O51" s="33">
        <v>5</v>
      </c>
      <c r="P51" s="33">
        <v>6</v>
      </c>
      <c r="Q51" s="33">
        <v>7</v>
      </c>
      <c r="R51" s="33">
        <v>8</v>
      </c>
      <c r="S51" s="33">
        <v>9</v>
      </c>
      <c r="T51" s="33">
        <v>10</v>
      </c>
      <c r="U51" s="33">
        <v>11</v>
      </c>
      <c r="V51" s="33">
        <v>12</v>
      </c>
      <c r="W51" s="33">
        <v>13</v>
      </c>
      <c r="X51" s="7"/>
    </row>
    <row r="52" spans="11:24" x14ac:dyDescent="0.3">
      <c r="K52" s="59">
        <f>MATCH(B1,K54:K99,0)</f>
        <v>1</v>
      </c>
      <c r="L52" s="26">
        <v>42176</v>
      </c>
      <c r="W52" s="52"/>
      <c r="X52" s="7"/>
    </row>
    <row r="53" spans="11:24" s="60" customFormat="1" x14ac:dyDescent="0.3">
      <c r="K53" s="46" t="s">
        <v>22</v>
      </c>
      <c r="L53" s="47" t="s">
        <v>23</v>
      </c>
      <c r="M53" s="48" t="s">
        <v>17</v>
      </c>
      <c r="N53" s="48" t="s">
        <v>24</v>
      </c>
      <c r="O53" s="48" t="s">
        <v>25</v>
      </c>
      <c r="P53" s="48" t="s">
        <v>18</v>
      </c>
      <c r="Q53" s="48" t="s">
        <v>19</v>
      </c>
      <c r="R53" s="48" t="s">
        <v>20</v>
      </c>
      <c r="S53" s="48" t="s">
        <v>21</v>
      </c>
      <c r="T53" s="49" t="s">
        <v>43</v>
      </c>
      <c r="U53" s="49" t="s">
        <v>44</v>
      </c>
      <c r="V53" s="50" t="s">
        <v>45</v>
      </c>
      <c r="W53" s="54" t="s">
        <v>46</v>
      </c>
      <c r="X53" s="7"/>
    </row>
    <row r="54" spans="11:24" s="60" customFormat="1" x14ac:dyDescent="0.3">
      <c r="K54" s="55" t="s">
        <v>66</v>
      </c>
      <c r="L54" s="69" t="s">
        <v>165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67</v>
      </c>
      <c r="W54" s="55" t="s">
        <v>36</v>
      </c>
      <c r="X54" s="7"/>
    </row>
    <row r="55" spans="11:24" s="60" customFormat="1" x14ac:dyDescent="0.3">
      <c r="K55" s="55" t="s">
        <v>47</v>
      </c>
      <c r="L55" s="69" t="s">
        <v>165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37</v>
      </c>
      <c r="W55" s="55" t="s">
        <v>36</v>
      </c>
      <c r="X55" s="7"/>
    </row>
    <row r="56" spans="11:24" s="60" customFormat="1" x14ac:dyDescent="0.3">
      <c r="K56" s="55" t="s">
        <v>189</v>
      </c>
      <c r="L56" s="69" t="s">
        <v>165</v>
      </c>
      <c r="M56" s="28">
        <v>0.03</v>
      </c>
      <c r="N56" s="28">
        <v>0.15</v>
      </c>
      <c r="O56" s="28">
        <v>0.12</v>
      </c>
      <c r="P56" s="28">
        <v>1.5</v>
      </c>
      <c r="Q56" s="28">
        <v>3</v>
      </c>
      <c r="R56" s="28">
        <v>5</v>
      </c>
      <c r="S56" s="28">
        <v>2</v>
      </c>
      <c r="T56" s="29" t="s">
        <v>34</v>
      </c>
      <c r="U56" s="29" t="s">
        <v>35</v>
      </c>
      <c r="V56" s="29" t="s">
        <v>190</v>
      </c>
      <c r="W56" s="55" t="s">
        <v>36</v>
      </c>
      <c r="X56" s="7"/>
    </row>
    <row r="57" spans="11:24" s="60" customFormat="1" x14ac:dyDescent="0.3">
      <c r="K57" s="68" t="s">
        <v>104</v>
      </c>
      <c r="L57" s="69" t="s">
        <v>165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67</v>
      </c>
      <c r="W57" s="68" t="s">
        <v>105</v>
      </c>
      <c r="X57" s="7"/>
    </row>
    <row r="58" spans="11:24" s="60" customFormat="1" x14ac:dyDescent="0.3">
      <c r="K58" s="68" t="s">
        <v>107</v>
      </c>
      <c r="L58" s="69" t="s">
        <v>165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37</v>
      </c>
      <c r="W58" s="68" t="s">
        <v>105</v>
      </c>
      <c r="X58" s="7"/>
    </row>
    <row r="59" spans="11:24" s="60" customFormat="1" x14ac:dyDescent="0.3">
      <c r="K59" s="68" t="s">
        <v>228</v>
      </c>
      <c r="L59" s="69" t="s">
        <v>165</v>
      </c>
      <c r="M59" s="70">
        <v>0.03</v>
      </c>
      <c r="N59" s="70">
        <v>0.15</v>
      </c>
      <c r="O59" s="70">
        <v>0.12</v>
      </c>
      <c r="P59" s="70">
        <v>1.5</v>
      </c>
      <c r="Q59" s="70">
        <v>3</v>
      </c>
      <c r="R59" s="70">
        <v>5</v>
      </c>
      <c r="S59" s="70">
        <v>2</v>
      </c>
      <c r="T59" s="71" t="s">
        <v>34</v>
      </c>
      <c r="U59" s="71" t="s">
        <v>35</v>
      </c>
      <c r="V59" s="71" t="s">
        <v>190</v>
      </c>
      <c r="W59" s="68" t="s">
        <v>105</v>
      </c>
      <c r="X59" s="7"/>
    </row>
    <row r="60" spans="11:24" s="60" customFormat="1" x14ac:dyDescent="0.3">
      <c r="K60" s="68" t="s">
        <v>191</v>
      </c>
      <c r="L60" s="69" t="s">
        <v>165</v>
      </c>
      <c r="M60" s="70">
        <v>0.03</v>
      </c>
      <c r="N60" s="70">
        <v>0.15</v>
      </c>
      <c r="O60" s="70">
        <v>0.12</v>
      </c>
      <c r="P60" s="70">
        <v>1.5</v>
      </c>
      <c r="Q60" s="70">
        <v>3</v>
      </c>
      <c r="R60" s="70">
        <v>5</v>
      </c>
      <c r="S60" s="70">
        <v>2</v>
      </c>
      <c r="T60" s="71" t="s">
        <v>34</v>
      </c>
      <c r="U60" s="71" t="s">
        <v>35</v>
      </c>
      <c r="V60" s="71" t="s">
        <v>192</v>
      </c>
      <c r="W60" s="68" t="s">
        <v>193</v>
      </c>
      <c r="X60" s="7"/>
    </row>
    <row r="61" spans="11:24" s="60" customFormat="1" x14ac:dyDescent="0.3">
      <c r="K61" s="55" t="s">
        <v>232</v>
      </c>
      <c r="L61" s="69" t="s">
        <v>165</v>
      </c>
      <c r="M61" s="28">
        <v>0.05</v>
      </c>
      <c r="N61" s="28">
        <v>0.25</v>
      </c>
      <c r="O61" s="28">
        <v>0.2</v>
      </c>
      <c r="P61" s="28">
        <v>2.5</v>
      </c>
      <c r="Q61" s="28">
        <v>5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67</v>
      </c>
      <c r="W61" s="55" t="s">
        <v>227</v>
      </c>
      <c r="X61" s="7"/>
    </row>
    <row r="62" spans="11:24" s="60" customFormat="1" x14ac:dyDescent="0.3">
      <c r="K62" s="55" t="s">
        <v>226</v>
      </c>
      <c r="L62" s="69" t="s">
        <v>165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37</v>
      </c>
      <c r="W62" s="55" t="s">
        <v>227</v>
      </c>
      <c r="X62" s="7"/>
    </row>
    <row r="63" spans="11:24" s="60" customFormat="1" x14ac:dyDescent="0.3">
      <c r="K63" s="55" t="s">
        <v>173</v>
      </c>
      <c r="L63" s="69" t="s">
        <v>165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171</v>
      </c>
      <c r="W63" s="55" t="s">
        <v>172</v>
      </c>
      <c r="X63" s="7"/>
    </row>
    <row r="64" spans="11:24" s="60" customFormat="1" x14ac:dyDescent="0.3">
      <c r="K64" s="55" t="s">
        <v>132</v>
      </c>
      <c r="L64" s="69" t="s">
        <v>165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133</v>
      </c>
      <c r="W64" s="55" t="s">
        <v>134</v>
      </c>
      <c r="X64" s="7"/>
    </row>
    <row r="65" spans="11:24" s="60" customFormat="1" x14ac:dyDescent="0.3">
      <c r="K65" s="55" t="s">
        <v>216</v>
      </c>
      <c r="L65" s="69" t="s">
        <v>217</v>
      </c>
      <c r="M65" s="28">
        <v>0.05</v>
      </c>
      <c r="N65" s="28">
        <v>0.25</v>
      </c>
      <c r="O65" s="28">
        <v>0.2</v>
      </c>
      <c r="P65" s="28">
        <v>2.5</v>
      </c>
      <c r="Q65" s="28">
        <v>5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121</v>
      </c>
      <c r="W65" s="55" t="s">
        <v>218</v>
      </c>
      <c r="X65" s="7"/>
    </row>
    <row r="66" spans="11:24" s="60" customFormat="1" x14ac:dyDescent="0.3">
      <c r="K66" s="55" t="s">
        <v>120</v>
      </c>
      <c r="L66" s="69" t="s">
        <v>217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121</v>
      </c>
      <c r="W66" s="55" t="s">
        <v>122</v>
      </c>
      <c r="X66" s="7"/>
    </row>
    <row r="67" spans="11:24" s="60" customFormat="1" x14ac:dyDescent="0.3">
      <c r="K67" s="55" t="s">
        <v>128</v>
      </c>
      <c r="L67" s="69" t="s">
        <v>165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129</v>
      </c>
      <c r="W67" s="55" t="s">
        <v>93</v>
      </c>
      <c r="X67" s="7"/>
    </row>
    <row r="68" spans="11:24" s="60" customFormat="1" x14ac:dyDescent="0.3">
      <c r="K68" s="55" t="s">
        <v>126</v>
      </c>
      <c r="L68" s="69" t="s">
        <v>165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127</v>
      </c>
      <c r="W68" s="55" t="s">
        <v>93</v>
      </c>
      <c r="X68" s="7"/>
    </row>
    <row r="69" spans="11:24" s="60" customFormat="1" x14ac:dyDescent="0.3">
      <c r="K69" s="55" t="s">
        <v>91</v>
      </c>
      <c r="L69" s="69" t="s">
        <v>165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92</v>
      </c>
      <c r="W69" s="55" t="s">
        <v>122</v>
      </c>
      <c r="X69" s="7"/>
    </row>
    <row r="70" spans="11:24" s="60" customFormat="1" x14ac:dyDescent="0.3">
      <c r="K70" s="55" t="s">
        <v>154</v>
      </c>
      <c r="L70" s="69" t="s">
        <v>165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2</v>
      </c>
      <c r="T70" s="29" t="s">
        <v>34</v>
      </c>
      <c r="U70" s="29" t="s">
        <v>35</v>
      </c>
      <c r="V70" s="29" t="s">
        <v>153</v>
      </c>
      <c r="W70" s="55" t="s">
        <v>122</v>
      </c>
      <c r="X70" s="7"/>
    </row>
    <row r="71" spans="11:24" s="60" customFormat="1" ht="19.2" customHeight="1" x14ac:dyDescent="0.3">
      <c r="K71" s="55" t="s">
        <v>211</v>
      </c>
      <c r="L71" s="69" t="s">
        <v>165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2</v>
      </c>
      <c r="T71" s="29" t="s">
        <v>34</v>
      </c>
      <c r="U71" s="29" t="s">
        <v>35</v>
      </c>
      <c r="V71" s="29" t="s">
        <v>209</v>
      </c>
      <c r="W71" s="55" t="s">
        <v>210</v>
      </c>
      <c r="X71" s="7"/>
    </row>
    <row r="72" spans="11:24" s="60" customFormat="1" x14ac:dyDescent="0.3">
      <c r="K72" s="68" t="s">
        <v>130</v>
      </c>
      <c r="L72" s="69" t="s">
        <v>165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109</v>
      </c>
      <c r="W72" s="68" t="s">
        <v>131</v>
      </c>
      <c r="X72" s="7"/>
    </row>
    <row r="73" spans="11:24" s="60" customFormat="1" x14ac:dyDescent="0.3">
      <c r="K73" s="68" t="s">
        <v>108</v>
      </c>
      <c r="L73" s="69" t="s">
        <v>165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109</v>
      </c>
      <c r="W73" s="68" t="s">
        <v>110</v>
      </c>
      <c r="X73" s="7"/>
    </row>
    <row r="74" spans="11:24" s="60" customFormat="1" x14ac:dyDescent="0.3">
      <c r="K74" s="77" t="s">
        <v>205</v>
      </c>
      <c r="L74" s="69" t="s">
        <v>165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202</v>
      </c>
      <c r="W74" s="55" t="s">
        <v>204</v>
      </c>
      <c r="X74" s="7"/>
    </row>
    <row r="75" spans="11:24" s="60" customFormat="1" x14ac:dyDescent="0.3">
      <c r="K75" s="68" t="s">
        <v>180</v>
      </c>
      <c r="L75" s="69" t="s">
        <v>165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181</v>
      </c>
      <c r="W75" s="68" t="s">
        <v>182</v>
      </c>
      <c r="X75" s="7"/>
    </row>
    <row r="76" spans="11:24" s="60" customFormat="1" ht="20.399999999999999" x14ac:dyDescent="0.3">
      <c r="K76" s="68" t="s">
        <v>178</v>
      </c>
      <c r="L76" s="69" t="s">
        <v>165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177</v>
      </c>
      <c r="W76" s="68" t="s">
        <v>179</v>
      </c>
      <c r="X76" s="7"/>
    </row>
    <row r="77" spans="11:24" s="60" customFormat="1" x14ac:dyDescent="0.3">
      <c r="K77" s="68" t="s">
        <v>118</v>
      </c>
      <c r="L77" s="69" t="s">
        <v>165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117</v>
      </c>
      <c r="W77" s="68" t="s">
        <v>119</v>
      </c>
      <c r="X77" s="7"/>
    </row>
    <row r="78" spans="11:24" s="60" customFormat="1" x14ac:dyDescent="0.3">
      <c r="K78" s="68" t="s">
        <v>183</v>
      </c>
      <c r="L78" s="69" t="s">
        <v>165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184</v>
      </c>
      <c r="W78" s="68" t="s">
        <v>185</v>
      </c>
      <c r="X78" s="7"/>
    </row>
    <row r="79" spans="11:24" s="60" customFormat="1" ht="34.200000000000003" customHeight="1" x14ac:dyDescent="0.3">
      <c r="K79" s="68" t="s">
        <v>149</v>
      </c>
      <c r="L79" s="75" t="s">
        <v>152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150</v>
      </c>
      <c r="W79" s="68" t="s">
        <v>151</v>
      </c>
      <c r="X79" s="7"/>
    </row>
    <row r="80" spans="11:24" s="60" customFormat="1" x14ac:dyDescent="0.3">
      <c r="K80" s="68" t="s">
        <v>147</v>
      </c>
      <c r="L80" s="69" t="s">
        <v>165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146</v>
      </c>
      <c r="W80" s="68" t="s">
        <v>148</v>
      </c>
      <c r="X80" s="7"/>
    </row>
    <row r="81" spans="11:24" s="60" customFormat="1" x14ac:dyDescent="0.3">
      <c r="K81" s="68" t="s">
        <v>144</v>
      </c>
      <c r="L81" s="69" t="s">
        <v>165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142</v>
      </c>
      <c r="W81" s="68" t="s">
        <v>145</v>
      </c>
      <c r="X81" s="7"/>
    </row>
    <row r="82" spans="11:24" s="60" customFormat="1" x14ac:dyDescent="0.3">
      <c r="K82" s="68" t="s">
        <v>141</v>
      </c>
      <c r="L82" s="69" t="s">
        <v>165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142</v>
      </c>
      <c r="W82" s="68" t="s">
        <v>143</v>
      </c>
      <c r="X82" s="7"/>
    </row>
    <row r="83" spans="11:24" s="60" customFormat="1" x14ac:dyDescent="0.3">
      <c r="K83" s="68" t="s">
        <v>160</v>
      </c>
      <c r="L83" s="69" t="s">
        <v>165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29" t="s">
        <v>161</v>
      </c>
      <c r="W83" s="55" t="s">
        <v>162</v>
      </c>
      <c r="X83" s="7"/>
    </row>
    <row r="84" spans="11:24" s="60" customFormat="1" ht="20.399999999999999" x14ac:dyDescent="0.3">
      <c r="K84" s="68" t="s">
        <v>135</v>
      </c>
      <c r="L84" s="75" t="s">
        <v>137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136</v>
      </c>
      <c r="W84" s="68" t="s">
        <v>138</v>
      </c>
      <c r="X84" s="7"/>
    </row>
    <row r="85" spans="11:24" s="60" customFormat="1" x14ac:dyDescent="0.3">
      <c r="K85" s="68" t="s">
        <v>196</v>
      </c>
      <c r="L85" s="69" t="s">
        <v>165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115</v>
      </c>
      <c r="W85" s="68" t="s">
        <v>197</v>
      </c>
      <c r="X85" s="7"/>
    </row>
    <row r="86" spans="11:24" s="60" customFormat="1" x14ac:dyDescent="0.3">
      <c r="K86" s="68" t="s">
        <v>219</v>
      </c>
      <c r="L86" s="69" t="s">
        <v>165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115</v>
      </c>
      <c r="W86" s="68" t="s">
        <v>220</v>
      </c>
      <c r="X86" s="7"/>
    </row>
    <row r="87" spans="11:24" s="60" customFormat="1" x14ac:dyDescent="0.3">
      <c r="K87" s="68" t="s">
        <v>114</v>
      </c>
      <c r="L87" s="69" t="s">
        <v>165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115</v>
      </c>
      <c r="W87" s="68" t="s">
        <v>116</v>
      </c>
      <c r="X87" s="7"/>
    </row>
    <row r="88" spans="11:24" s="60" customFormat="1" x14ac:dyDescent="0.3">
      <c r="K88" s="68" t="s">
        <v>158</v>
      </c>
      <c r="L88" s="69" t="s">
        <v>166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156</v>
      </c>
      <c r="W88" s="68" t="s">
        <v>159</v>
      </c>
      <c r="X88" s="7"/>
    </row>
    <row r="89" spans="11:24" s="60" customFormat="1" x14ac:dyDescent="0.3">
      <c r="K89" s="68" t="s">
        <v>155</v>
      </c>
      <c r="L89" s="69" t="s">
        <v>166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156</v>
      </c>
      <c r="W89" s="68" t="s">
        <v>157</v>
      </c>
      <c r="X89" s="7"/>
    </row>
    <row r="90" spans="11:24" s="60" customFormat="1" ht="19.2" customHeight="1" x14ac:dyDescent="0.3">
      <c r="K90" s="68" t="s">
        <v>186</v>
      </c>
      <c r="L90" s="69" t="s">
        <v>165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187</v>
      </c>
      <c r="W90" s="68" t="s">
        <v>188</v>
      </c>
      <c r="X90" s="7"/>
    </row>
    <row r="91" spans="11:24" s="60" customFormat="1" ht="19.2" customHeight="1" x14ac:dyDescent="0.3">
      <c r="K91" s="68" t="s">
        <v>221</v>
      </c>
      <c r="L91" s="69" t="s">
        <v>165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222</v>
      </c>
      <c r="W91" s="68" t="s">
        <v>223</v>
      </c>
      <c r="X91" s="7"/>
    </row>
    <row r="92" spans="11:24" s="60" customFormat="1" x14ac:dyDescent="0.3">
      <c r="K92" s="68" t="s">
        <v>174</v>
      </c>
      <c r="L92" s="69" t="s">
        <v>165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176</v>
      </c>
      <c r="W92" s="68" t="s">
        <v>175</v>
      </c>
      <c r="X92" s="7"/>
    </row>
    <row r="93" spans="11:24" s="60" customFormat="1" x14ac:dyDescent="0.3">
      <c r="K93" s="68" t="s">
        <v>163</v>
      </c>
      <c r="L93" s="69" t="s">
        <v>165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164</v>
      </c>
      <c r="W93" s="68" t="s">
        <v>125</v>
      </c>
      <c r="X93" s="7"/>
    </row>
    <row r="94" spans="11:24" s="60" customFormat="1" x14ac:dyDescent="0.3">
      <c r="K94" s="68" t="s">
        <v>123</v>
      </c>
      <c r="L94" s="69" t="s">
        <v>166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124</v>
      </c>
      <c r="W94" s="68" t="s">
        <v>125</v>
      </c>
      <c r="X94" s="7"/>
    </row>
    <row r="95" spans="11:24" s="60" customFormat="1" ht="20.399999999999999" x14ac:dyDescent="0.3">
      <c r="K95" s="68" t="s">
        <v>168</v>
      </c>
      <c r="L95" s="69" t="s">
        <v>170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167</v>
      </c>
      <c r="W95" s="68" t="s">
        <v>169</v>
      </c>
      <c r="X95" s="7"/>
    </row>
    <row r="96" spans="11:24" s="60" customFormat="1" ht="20.399999999999999" customHeight="1" x14ac:dyDescent="0.3">
      <c r="K96" s="68" t="s">
        <v>206</v>
      </c>
      <c r="L96" s="69" t="s">
        <v>165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207</v>
      </c>
      <c r="W96" s="68" t="s">
        <v>208</v>
      </c>
      <c r="X96" s="7"/>
    </row>
    <row r="97" spans="11:24" s="60" customFormat="1" x14ac:dyDescent="0.3">
      <c r="K97" s="68" t="s">
        <v>201</v>
      </c>
      <c r="L97" s="69" t="s">
        <v>165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202</v>
      </c>
      <c r="W97" s="68" t="s">
        <v>200</v>
      </c>
      <c r="X97" s="7"/>
    </row>
    <row r="98" spans="11:24" s="60" customFormat="1" x14ac:dyDescent="0.3">
      <c r="K98" s="68" t="s">
        <v>198</v>
      </c>
      <c r="L98" s="69" t="s">
        <v>165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199</v>
      </c>
      <c r="W98" s="68" t="s">
        <v>200</v>
      </c>
      <c r="X98" s="7"/>
    </row>
    <row r="99" spans="11:24" s="60" customFormat="1" x14ac:dyDescent="0.3">
      <c r="K99" s="68" t="s">
        <v>203</v>
      </c>
      <c r="L99" s="69" t="s">
        <v>165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195</v>
      </c>
      <c r="W99" s="68" t="s">
        <v>140</v>
      </c>
      <c r="X99" s="7"/>
    </row>
    <row r="100" spans="11:24" s="60" customFormat="1" x14ac:dyDescent="0.3">
      <c r="K100" s="68" t="s">
        <v>194</v>
      </c>
      <c r="L100" s="69" t="s">
        <v>165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195</v>
      </c>
      <c r="W100" s="68" t="s">
        <v>113</v>
      </c>
      <c r="X100" s="7"/>
    </row>
    <row r="101" spans="11:24" s="60" customFormat="1" x14ac:dyDescent="0.3">
      <c r="K101" s="68" t="s">
        <v>139</v>
      </c>
      <c r="L101" s="69" t="s">
        <v>165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112</v>
      </c>
      <c r="W101" s="68" t="s">
        <v>140</v>
      </c>
      <c r="X101" s="7"/>
    </row>
    <row r="102" spans="11:24" s="60" customFormat="1" x14ac:dyDescent="0.3">
      <c r="K102" s="68" t="s">
        <v>111</v>
      </c>
      <c r="L102" s="69" t="s">
        <v>165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112</v>
      </c>
      <c r="W102" s="68" t="s">
        <v>113</v>
      </c>
      <c r="X102" s="7"/>
    </row>
    <row r="103" spans="11:24" x14ac:dyDescent="0.3">
      <c r="K103" s="74"/>
      <c r="X103" s="7"/>
    </row>
    <row r="104" spans="11:24" x14ac:dyDescent="0.3">
      <c r="X104" s="7"/>
    </row>
    <row r="105" spans="11:24" x14ac:dyDescent="0.3">
      <c r="X105" s="7"/>
    </row>
    <row r="107" spans="11:24" x14ac:dyDescent="0.3">
      <c r="K107" s="60"/>
      <c r="X107" s="7"/>
    </row>
    <row r="108" spans="11:24" x14ac:dyDescent="0.3">
      <c r="X108" s="7"/>
    </row>
    <row r="109" spans="11:24" x14ac:dyDescent="0.3">
      <c r="X109" s="7"/>
    </row>
    <row r="110" spans="11:24" x14ac:dyDescent="0.3">
      <c r="X110" s="7"/>
    </row>
    <row r="111" spans="11:24" x14ac:dyDescent="0.3">
      <c r="X111" s="7"/>
    </row>
    <row r="112" spans="11:24" x14ac:dyDescent="0.3">
      <c r="X112" s="7"/>
    </row>
    <row r="113" spans="24:24" x14ac:dyDescent="0.3">
      <c r="X113" s="8"/>
    </row>
    <row r="114" spans="24:24" x14ac:dyDescent="0.3">
      <c r="X114" s="7"/>
    </row>
    <row r="115" spans="24:24" ht="15" customHeight="1" x14ac:dyDescent="0.3">
      <c r="X115" s="7"/>
    </row>
    <row r="116" spans="24:24" x14ac:dyDescent="0.3">
      <c r="X116" s="7"/>
    </row>
    <row r="117" spans="24:24" x14ac:dyDescent="0.3">
      <c r="X117" s="7"/>
    </row>
    <row r="118" spans="24:24" x14ac:dyDescent="0.3">
      <c r="X118" s="7"/>
    </row>
    <row r="119" spans="24:24" x14ac:dyDescent="0.3">
      <c r="X119" s="7"/>
    </row>
    <row r="120" spans="24:24" x14ac:dyDescent="0.3">
      <c r="X120" s="7"/>
    </row>
    <row r="121" spans="24:24" x14ac:dyDescent="0.3">
      <c r="X121" s="7"/>
    </row>
    <row r="122" spans="24:24" x14ac:dyDescent="0.3">
      <c r="X122" s="7"/>
    </row>
    <row r="123" spans="24:24" x14ac:dyDescent="0.3">
      <c r="X123" s="7"/>
    </row>
    <row r="124" spans="24:24" x14ac:dyDescent="0.3">
      <c r="X124" s="7"/>
    </row>
    <row r="125" spans="24:24" x14ac:dyDescent="0.3">
      <c r="X125" s="7"/>
    </row>
    <row r="126" spans="24:24" x14ac:dyDescent="0.3">
      <c r="X126" s="7"/>
    </row>
    <row r="127" spans="24:24" x14ac:dyDescent="0.3">
      <c r="X127" s="7"/>
    </row>
    <row r="128" spans="24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7"/>
    </row>
    <row r="133" spans="24:24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200"/>
    </row>
    <row r="144" spans="24:24" x14ac:dyDescent="0.3">
      <c r="X144" s="200"/>
    </row>
    <row r="145" spans="1:24" x14ac:dyDescent="0.3">
      <c r="X145" s="200"/>
    </row>
    <row r="146" spans="1:24" s="33" customFormat="1" x14ac:dyDescent="0.3">
      <c r="K146"/>
      <c r="L146" s="25"/>
      <c r="M146"/>
      <c r="N146"/>
      <c r="O146"/>
      <c r="P146"/>
      <c r="Q146"/>
      <c r="R146"/>
      <c r="S146"/>
      <c r="T146" s="6"/>
      <c r="U146" s="6"/>
      <c r="V146"/>
      <c r="X146" s="200"/>
    </row>
    <row r="147" spans="1:24" s="33" customFormat="1" x14ac:dyDescent="0.3">
      <c r="K147"/>
      <c r="L147" s="25"/>
      <c r="M147"/>
      <c r="N147"/>
      <c r="O147"/>
      <c r="P147"/>
      <c r="Q147"/>
      <c r="R147"/>
      <c r="S147"/>
      <c r="T147" s="6"/>
      <c r="U147" s="6"/>
      <c r="V147"/>
      <c r="X147" s="200"/>
    </row>
    <row r="148" spans="1:24" x14ac:dyDescent="0.3">
      <c r="X148" s="200"/>
    </row>
    <row r="149" spans="1:24" x14ac:dyDescent="0.3">
      <c r="A149" s="57"/>
    </row>
    <row r="150" spans="1:24" x14ac:dyDescent="0.3">
      <c r="A150" s="55"/>
    </row>
    <row r="151" spans="1:24" x14ac:dyDescent="0.3">
      <c r="A151" s="57"/>
    </row>
    <row r="152" spans="1:24" x14ac:dyDescent="0.3">
      <c r="A152" s="55"/>
    </row>
    <row r="153" spans="1:24" s="33" customFormat="1" x14ac:dyDescent="0.3">
      <c r="A153" s="57"/>
      <c r="K153"/>
      <c r="L153" s="25"/>
      <c r="M153"/>
      <c r="N153"/>
      <c r="O153"/>
      <c r="P153"/>
      <c r="Q153"/>
      <c r="R153"/>
      <c r="S153"/>
      <c r="T153" s="6"/>
      <c r="U153" s="6"/>
      <c r="V153"/>
    </row>
    <row r="154" spans="1:24" s="33" customFormat="1" x14ac:dyDescent="0.3">
      <c r="A154" s="55"/>
      <c r="K154"/>
      <c r="L154" s="25"/>
      <c r="M154"/>
      <c r="N154"/>
      <c r="O154"/>
      <c r="P154"/>
      <c r="Q154"/>
      <c r="R154"/>
      <c r="S154"/>
      <c r="T154" s="6"/>
      <c r="U154" s="6"/>
      <c r="V154"/>
    </row>
    <row r="155" spans="1:24" x14ac:dyDescent="0.3">
      <c r="A155" s="57"/>
    </row>
    <row r="156" spans="1:24" s="33" customFormat="1" x14ac:dyDescent="0.3">
      <c r="A156" s="55"/>
      <c r="K156"/>
      <c r="L156" s="25"/>
      <c r="M156"/>
      <c r="N156"/>
      <c r="O156"/>
      <c r="P156"/>
      <c r="Q156"/>
      <c r="R156"/>
      <c r="S156"/>
      <c r="T156" s="6"/>
      <c r="U156" s="6"/>
      <c r="V156"/>
    </row>
    <row r="157" spans="1:24" x14ac:dyDescent="0.3">
      <c r="A157" s="57"/>
    </row>
    <row r="158" spans="1:24" x14ac:dyDescent="0.3">
      <c r="A158" s="55"/>
    </row>
    <row r="159" spans="1:24" x14ac:dyDescent="0.3">
      <c r="A159" s="57"/>
    </row>
    <row r="160" spans="1:24" x14ac:dyDescent="0.3">
      <c r="A160" s="55"/>
    </row>
    <row r="161" spans="1:1" x14ac:dyDescent="0.3">
      <c r="A161" s="57"/>
    </row>
    <row r="162" spans="1:1" x14ac:dyDescent="0.3">
      <c r="A162" s="55"/>
    </row>
    <row r="163" spans="1:1" x14ac:dyDescent="0.3">
      <c r="A163" s="57"/>
    </row>
    <row r="164" spans="1:1" x14ac:dyDescent="0.3">
      <c r="A164" s="55"/>
    </row>
    <row r="165" spans="1:1" x14ac:dyDescent="0.3">
      <c r="A165" s="57"/>
    </row>
    <row r="166" spans="1:1" x14ac:dyDescent="0.3">
      <c r="A166" s="55"/>
    </row>
    <row r="167" spans="1:1" x14ac:dyDescent="0.3">
      <c r="A167" s="57"/>
    </row>
    <row r="168" spans="1:1" x14ac:dyDescent="0.3">
      <c r="A168" s="55"/>
    </row>
    <row r="169" spans="1:1" x14ac:dyDescent="0.3">
      <c r="A169" s="57"/>
    </row>
    <row r="170" spans="1:1" x14ac:dyDescent="0.3">
      <c r="A170" s="55"/>
    </row>
    <row r="171" spans="1:1" x14ac:dyDescent="0.3">
      <c r="A171" s="57"/>
    </row>
    <row r="172" spans="1:1" x14ac:dyDescent="0.3">
      <c r="A172" s="55"/>
    </row>
    <row r="173" spans="1:1" x14ac:dyDescent="0.3">
      <c r="A173" s="57"/>
    </row>
    <row r="174" spans="1:1" x14ac:dyDescent="0.3">
      <c r="A174" s="55"/>
    </row>
    <row r="175" spans="1:1" x14ac:dyDescent="0.3">
      <c r="A175" s="57"/>
    </row>
    <row r="176" spans="1:1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6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6"/>
    </row>
    <row r="231" spans="1:1" x14ac:dyDescent="0.3">
      <c r="A231" s="57"/>
    </row>
    <row r="232" spans="1:1" x14ac:dyDescent="0.3">
      <c r="A232" s="56"/>
    </row>
    <row r="233" spans="1:1" x14ac:dyDescent="0.3">
      <c r="A233" s="58"/>
    </row>
    <row r="234" spans="1:1" x14ac:dyDescent="0.3">
      <c r="A234" s="56"/>
    </row>
    <row r="235" spans="1:1" x14ac:dyDescent="0.3">
      <c r="A235" s="57"/>
    </row>
    <row r="236" spans="1:1" x14ac:dyDescent="0.3">
      <c r="A236" s="56"/>
    </row>
    <row r="237" spans="1:1" x14ac:dyDescent="0.3">
      <c r="A237" s="57"/>
    </row>
    <row r="238" spans="1:1" x14ac:dyDescent="0.3">
      <c r="A238" s="56"/>
    </row>
    <row r="239" spans="1:1" x14ac:dyDescent="0.3">
      <c r="A239" s="57"/>
    </row>
    <row r="240" spans="1:1" x14ac:dyDescent="0.3">
      <c r="A240" s="55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</sheetData>
  <mergeCells count="4">
    <mergeCell ref="X143:X148"/>
    <mergeCell ref="D8:E8"/>
    <mergeCell ref="D9:E9"/>
    <mergeCell ref="C18:E18"/>
  </mergeCells>
  <phoneticPr fontId="5" type="noConversion"/>
  <conditionalFormatting sqref="B10">
    <cfRule type="expression" dxfId="16" priority="1">
      <formula>$B$9&lt;$A$16</formula>
    </cfRule>
    <cfRule type="expression" dxfId="15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$K$54:$K$699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17</xdr:row>
                    <xdr:rowOff>22860</xdr:rowOff>
                  </from>
                  <to>
                    <xdr:col>1</xdr:col>
                    <xdr:colOff>2194560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15</xdr:row>
                    <xdr:rowOff>7620</xdr:rowOff>
                  </from>
                  <to>
                    <xdr:col>1</xdr:col>
                    <xdr:colOff>2194560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19</xdr:row>
                    <xdr:rowOff>7620</xdr:rowOff>
                  </from>
                  <to>
                    <xdr:col>1</xdr:col>
                    <xdr:colOff>2194560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User</cp:lastModifiedBy>
  <cp:lastPrinted>2025-09-30T16:54:59Z</cp:lastPrinted>
  <dcterms:created xsi:type="dcterms:W3CDTF">2015-01-22T18:16:29Z</dcterms:created>
  <dcterms:modified xsi:type="dcterms:W3CDTF">2025-09-30T16:59:13Z</dcterms:modified>
</cp:coreProperties>
</file>