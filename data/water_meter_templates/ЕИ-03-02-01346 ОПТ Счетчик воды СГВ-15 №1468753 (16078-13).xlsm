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7.10.2025\"/>
    </mc:Choice>
  </mc:AlternateContent>
  <xr:revisionPtr revIDLastSave="0" documentId="8_{76124396-DEC6-461C-837F-54FC41E9D75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<sst xmlns="http://schemas.openxmlformats.org/spreadsheetml/2006/main" count="407" uniqueCount="238">
  <si>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</si>
  <si>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</si>
  <si>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</si>
  <si>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</si>
  <si>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</si>
  <si>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</si>
  <si>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</si>
  <si>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</si>
  <si>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</si>
  <si>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</si>
  <si>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</si>
  <si>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</si>
  <si>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</si>
  <si>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</si>
  <si>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</si>
  <si>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</si>
  <si>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</si>
  <si>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</si>
  <si>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</si>
  <si>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</si>
  <si>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</si>
  <si>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</si>
  <si>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</si>
  <si>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</si>
  <si>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</si>
  <si>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</si>
  <si>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</si>
  <si>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</si>
  <si>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</si>
  <si>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</si>
  <si>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</si>
  <si>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</si>
  <si>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</si>
  <si>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</si>
  <si>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</si>
  <si>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</si>
  <si>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</si>
  <si>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</si>
  <si>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</si>
  <si>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</si>
  <si>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</si>
  <si>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</si>
  <si>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</si>
  <si>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</si>
  <si>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</si>
  <si>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</si>
  <si>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</si>
  <si>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</si>
  <si>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</si>
  <si>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</si>
  <si>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</si>
  <si>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</si>
  <si>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</si>
  <si>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</si>
  <si>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</si>
  <si>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</si>
  <si>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</si>
  <si>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</si>
  <si>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</si>
  <si>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</si>
  <si>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</si>
  <si>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</si>
  <si>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</si>
  <si>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</si>
  <si>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</si>
  <si>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</si>
  <si>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</si>
  <si>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</si>
  <si>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</si>
  <si>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</si>
  <si>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</si>
  <si>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</si>
  <si>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</si>
  <si>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</si>
  <si>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</si>
  <si>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</si>
  <si>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</si>
  <si>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</si>
  <si>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</si>
  <si>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</si>
  <si>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</si>
  <si>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</si>
  <si>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</si>
  <si>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</si>
  <si>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</si>
  <si>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</si>
  <si>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</si>
  <si>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</si>
  <si>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</si>
  <si>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</si>
  <si>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</si>
  <si>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</si>
  <si>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</si>
  <si>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</si>
  <si>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</si>
  <si>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</si>
  <si>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</si>
  <si>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</si>
  <si>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</si>
  <si>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</si>
  <si>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</si>
  <si>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</si>
  <si>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</si>
  <si>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</si>
  <si>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</si>
  <si>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</si>
  <si>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</si>
  <si>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</si>
  <si>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</si>
  <si>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</si>
  <si>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</si>
  <si>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</si>
  <si>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</si>
  <si>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</si>
  <si>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</si>
  <si>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</si>
  <si>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</si>
  <si>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</si>
  <si>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</si>
  <si>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</si>
  <si>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</si>
  <si>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</si>
  <si>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</si>
  <si>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</si>
  <si>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</si>
  <si>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</si>
  <si>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</si>
  <si>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</si>
  <si>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</si>
  <si>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</si>
  <si>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</si>
  <si>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</si>
  <si>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</si>
  <si>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</si>
  <si>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</si>
  <si>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</si>
  <si>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</si>
  <si>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</si>
  <si>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</si>
  <si>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</si>
  <si>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</si>
  <si>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</si>
  <si>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</si>
  <si>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</si>
  <si>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</si>
  <si>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</si>
  <si>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</si>
  <si>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</si>
  <si>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</si>
  <si>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</si>
  <si>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</si>
  <si>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</si>
  <si>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</si>
  <si>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</si>
  <si>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</si>
  <si>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</si>
  <si>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</si>
  <si>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</si>
  <si>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</si>
  <si>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</si>
  <si>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</si>
  <si>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</si>
  <si>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</si>
  <si>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</si>
  <si>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</si>
  <si>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</si>
  <si>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</si>
  <si>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</si>
  <si>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</si>
  <si>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</si>
  <si>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</si>
  <si>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</si>
  <si>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</si>
  <si>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</si>
  <si>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</si>
  <si>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</si>
  <si>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</si>
  <si>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</si>
  <si>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</si>
  <si>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</si>
  <si>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</si>
  <si>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</si>
  <si>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</si>
  <si>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</si>
  <si>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</si>
  <si>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</si>
  <si>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</si>
  <si>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</si>
  <si>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</si>
  <si>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</si>
  <si>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</si>
  <si>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</si>
  <si>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</si>
  <si>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</si>
  <si>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</si>
  <si>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</si>
  <si>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</si>
  <si>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</si>
  <si>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</si>
  <si>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</si>
  <si>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</si>
  <si>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</si>
  <si>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</si>
  <si>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</si>
  <si>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</si>
  <si>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</si>
  <si>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</si>
  <si>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</si>
  <si>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</si>
  <si>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</si>
  <si>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</si>
  <si>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</si>
  <si>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</si>
  <si>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</si>
  <si>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</si>
  <si>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</si>
  <si>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</si>
  <si>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</si>
  <si>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</si>
  <si>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</si>
  <si>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</si>
  <si>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</si>
  <si>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</si>
  <si>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</si>
  <si>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</si>
  <si>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</si>
  <si>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</si>
  <si>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</si>
  <si>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</si>
  <si>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</si>
  <si>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</si>
  <si>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</si>
  <si>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</si>
  <si>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</si>
  <si>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01346</t>
  </si>
  <si>
    <t>1468753</t>
  </si>
  <si>
    <t>138,192</t>
  </si>
  <si>
    <t>Яранский район, местечко Опытное Поле, ул.Северная 9-11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</si>
</sst>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№ЕИ-04/02-01346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2009, заводской № 1468753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местечко Опытное Поле, ул.Северная 9-11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25.3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27.1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58.3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64.599999999999994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104.8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104.8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6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6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3.3000000000000002E-2</v>
      </c>
      <c r="AD53" s="129"/>
      <c r="AE53" s="129"/>
      <c r="AF53" s="129"/>
      <c r="AG53" s="129"/>
      <c r="AH53" s="129"/>
      <c r="AI53" s="130"/>
      <c r="AJ53" s="199" t="str">
        <f>Данные!B6</f>
        <v>138,192</v>
      </c>
      <c r="AK53" s="199"/>
      <c r="AL53" s="199"/>
      <c r="AM53" s="199"/>
      <c r="AN53" s="199"/>
      <c r="AO53" s="199"/>
      <c r="AP53" s="90"/>
      <c r="AQ53" s="198">
        <f ca="1">AJ53+AW53</f>
        <v>138.19900000000001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7.1000000000000004E-3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-1.4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0.13400000000000001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138.20500000000001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138.21900000000002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1.3899999999999999E-2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0.7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0.90900000000000003</v>
      </c>
      <c r="AD55" s="148"/>
      <c r="AE55" s="148"/>
      <c r="AF55" s="148"/>
      <c r="AG55" s="148"/>
      <c r="AH55" s="148"/>
      <c r="AI55" s="149"/>
      <c r="AJ55" s="183">
        <f ca="1">AQ54+RANDBETWEEN(15,18)/1000</f>
        <v>138.23400000000001</v>
      </c>
      <c r="AK55" s="183"/>
      <c r="AL55" s="183"/>
      <c r="AM55" s="183"/>
      <c r="AN55" s="183"/>
      <c r="AO55" s="183"/>
      <c r="AP55" s="90"/>
      <c r="AQ55" s="128">
        <f t="shared" ca="1" si="0"/>
        <v>138.26500000000001</v>
      </c>
      <c r="AR55" s="129"/>
      <c r="AS55" s="129"/>
      <c r="AT55" s="129"/>
      <c r="AU55" s="129"/>
      <c r="AV55" s="130"/>
      <c r="AW55" s="128">
        <f ca="1">ROUNDUP(AC55*120/3600,3)</f>
        <v>3.1E-2</v>
      </c>
      <c r="AX55" s="129"/>
      <c r="AY55" s="129"/>
      <c r="AZ55" s="129"/>
      <c r="BA55" s="129"/>
      <c r="BB55" s="129"/>
      <c r="BC55" s="130"/>
      <c r="BD55" s="125">
        <f ca="1">AW55+RANDBETWEEN(-5,5)/10000</f>
        <v>3.0800000000000001E-2</v>
      </c>
      <c r="BE55" s="150"/>
      <c r="BF55" s="150"/>
      <c r="BG55" s="150"/>
      <c r="BH55" s="150"/>
      <c r="BI55" s="150"/>
      <c r="BJ55" s="151"/>
      <c r="BK55" s="101">
        <f ca="1">ROUND(((AW55-BD55)/BD55)*100,1)</f>
        <v>0.6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45947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45947</v>
      </c>
      <c r="C10" s="13"/>
      <c r="D10" s="13"/>
      <c r="E10" s="13"/>
    </row>
    <row r="11" spans="1:21" ht="18" x14ac:dyDescent="0.35">
      <c r="A11" s="11" t="s">
        <v>15</v>
      </c>
      <c r="B11" s="76">
        <v>25.3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104.8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45951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2025-10-21T06:07:20Z</cp:lastPrinted>
  <dcterms:created xsi:type="dcterms:W3CDTF">2015-01-22T18:16:29Z</dcterms:created>
  <dcterms:modified xsi:type="dcterms:W3CDTF">2025-10-21T06:20:42Z</dcterms:modified>
</cp:coreProperties>
</file>