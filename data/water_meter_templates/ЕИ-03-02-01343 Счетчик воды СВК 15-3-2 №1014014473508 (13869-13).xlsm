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7.10.2025\"/>
    </mc:Choice>
  </mc:AlternateContent>
  <xr:revisionPtr revIDLastSave="0" documentId="13_ncr:1_{62BAF7E3-6359-45C7-AC9A-7DDE608C024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<sst xmlns="http://schemas.openxmlformats.org/spreadsheetml/2006/main" count="505" uniqueCount="273">
  <si>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</si>
  <si>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</si>
  <si>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</si>
  <si>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</si>
  <si>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</si>
  <si>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</si>
  <si>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</si>
  <si>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</si>
  <si>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</si>
  <si>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</si>
  <si>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</si>
  <si>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</si>
  <si>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</si>
  <si>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</si>
  <si>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</si>
  <si>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</si>
  <si>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</si>
  <si>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</si>
  <si>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</si>
  <si>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</si>
  <si>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</si>
  <si>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</si>
  <si>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</si>
  <si>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</si>
  <si>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</si>
  <si>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</si>
  <si>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</si>
  <si>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</si>
  <si>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</si>
  <si>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</si>
  <si>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</si>
  <si>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</si>
  <si>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</si>
  <si>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</si>
  <si>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</si>
  <si>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</si>
  <si>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</si>
  <si>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</si>
  <si>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</si>
  <si>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</si>
  <si>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</si>
  <si>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</si>
  <si>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</si>
  <si>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</si>
  <si>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</si>
  <si>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</si>
  <si>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</si>
  <si>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</si>
  <si>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</si>
  <si>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</si>
  <si>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</si>
  <si>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</si>
  <si>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</si>
  <si>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</si>
  <si>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</si>
  <si>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</si>
  <si>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</si>
  <si>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</si>
  <si>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</si>
  <si>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</si>
  <si>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</si>
  <si>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</si>
  <si>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</si>
  <si>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</si>
  <si>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</si>
  <si>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</si>
  <si>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</si>
  <si>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</si>
  <si>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</si>
  <si>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</si>
  <si>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</si>
  <si>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</si>
  <si>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</si>
  <si>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</si>
  <si>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</si>
  <si>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</si>
  <si>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</si>
  <si>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</si>
  <si>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</si>
  <si>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</si>
  <si>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</si>
  <si>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</si>
  <si>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</si>
  <si>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</si>
  <si>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</si>
  <si>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</si>
  <si>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</si>
  <si>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</si>
  <si>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</si>
  <si>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</si>
  <si>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</si>
  <si>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</si>
  <si>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</si>
  <si>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</si>
  <si>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</si>
  <si>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</si>
  <si>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</si>
  <si>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</si>
  <si>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</si>
  <si>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</si>
  <si>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</si>
  <si>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</si>
  <si>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</si>
  <si>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</si>
  <si>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</si>
  <si>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</si>
  <si>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</si>
  <si>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</si>
  <si>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</si>
  <si>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</si>
  <si>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</si>
  <si>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</si>
  <si>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</si>
  <si>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</si>
  <si>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</si>
  <si>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</si>
  <si>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</si>
  <si>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</si>
  <si>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</si>
  <si>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</si>
  <si>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</si>
  <si>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</si>
  <si>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</si>
  <si>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</si>
  <si>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</si>
  <si>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</si>
  <si>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</si>
  <si>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</si>
  <si>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</si>
  <si>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</si>
  <si>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</si>
  <si>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</si>
  <si>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</si>
  <si>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</si>
  <si>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</si>
  <si>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</si>
  <si>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</si>
  <si>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</si>
  <si>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</si>
  <si>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</si>
  <si>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</si>
  <si>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</si>
  <si>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</si>
  <si>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</si>
  <si>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</si>
  <si>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</si>
  <si>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</si>
  <si>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</si>
  <si>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</si>
  <si>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</si>
  <si>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</si>
  <si>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</si>
  <si>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</si>
  <si>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</si>
  <si>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</si>
  <si>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</si>
  <si>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</si>
  <si>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</si>
  <si>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</si>
  <si>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</si>
  <si>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</si>
  <si>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</si>
  <si>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</si>
  <si>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</si>
  <si>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</si>
  <si>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</si>
  <si>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</si>
  <si>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</si>
  <si>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</si>
  <si>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</si>
  <si>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</si>
  <si>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</si>
  <si>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</si>
  <si>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</si>
  <si>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</si>
  <si>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</si>
  <si>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</si>
  <si>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</si>
  <si>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</si>
  <si>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</si>
  <si>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</si>
  <si>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</si>
  <si>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</si>
  <si>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</si>
  <si>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</si>
  <si>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</si>
  <si>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</si>
  <si>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</si>
  <si>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</si>
  <si>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</si>
  <si>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</si>
  <si>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</si>
  <si>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</si>
  <si>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</si>
  <si>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</si>
  <si>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</si>
  <si>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</si>
  <si>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</si>
  <si>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</si>
  <si>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</si>
  <si>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</si>
  <si>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</si>
  <si>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</si>
  <si>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</si>
  <si>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</si>
  <si>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</si>
  <si>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</si>
  <si>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</si>
  <si>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</si>
  <si>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</si>
  <si>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</si>
  <si>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</si>
  <si>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</si>
  <si>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</si>
  <si>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</si>
  <si>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</si>
  <si>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</si>
  <si>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</si>
  <si>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</si>
  <si>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</si>
  <si>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</si>
  <si>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</si>
  <si>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</si>
  <si>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</si>
  <si>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</si>
  <si>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</si>
  <si>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</si>
  <si>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</si>
  <si>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</si>
  <si>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</si>
  <si>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</si>
  <si>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</si>
  <si>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</si>
  <si>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</si>
  <si>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</si>
  <si>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</si>
  <si>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</si>
  <si>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</si>
  <si>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</si>
  <si>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</si>
  <si>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</si>
  <si>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</si>
  <si>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</si>
  <si>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</si>
  <si>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</si>
  <si>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</si>
  <si>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</si>
  <si>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</si>
  <si>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</si>
  <si>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</si>
  <si>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</si>
  <si>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</si>
  <si>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</si>
  <si>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</si>
  <si>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</si>
  <si>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</si>
  <si>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</si>
  <si>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</si>
  <si>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</si>
  <si>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</si>
  <si>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</si>
  <si>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</si>
  <si>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</si>
  <si>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</si>
  <si>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</si>
  <si>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</si>
  <si>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</si>
  <si>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 15-3-2И 13869-13</t>
  </si>
  <si>
    <t>СВК 15-3-2И</t>
  </si>
  <si>
    <t>01343</t>
  </si>
  <si>
    <t>1014014473508</t>
  </si>
  <si>
    <t>60,693</t>
  </si>
  <si>
    <t>Яранский район, местечко Опытное Поле, ул.Северная 9-4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</si>
</sst>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8" totalsRowShown="0" headerRowBorderDxfId="16" tableBorderDxfId="15">
  <autoFilter ref="K52:W118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№ЕИ-04/02-01343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",INDEX(Данные!$K$53:$W$118,Данные!K51,13),", год изготовления ",Данные!B3,", заводской № ",Данные!B4)</f>
        <v>периодической поверки СИ - счетчик воды СВК 15-3-2, год изготовления 2014, заводской № 1014014473508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",INDEX(Данные!$K$53:$W$118,Данные!K51,12))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Яранский район, местечко Опытное Поле, ул.Северная 9-4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",INDEX(Данные!$K$53:$W$118,Данные!K51,3)*2," м3/ч до ",INDEX(Данные!$K$53:$W$118,Данные!K51,7),"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",INDEX(Данные!$K$53:$W$118,Данные!K51,3)," м3/ч до ",INDEX(Данные!$K$53:$W$118,Данные!K51,7),"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",INDEX(Данные!$K$53:$W$118,Данные!K51,3)*2," м3/ч до ",INDEX(Данные!$K$53:$W$118,Данные!K51,4)," м3/ч : ± ",INDEX(Данные!$K$53:$W$118,Данные!K51,8),"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",INDEX(Данные!$K$53:$W$118,Данные!K51,4)," м3/ч до ",INDEX(Данные!$K$53:$W$118,Данные!K51,7)," м3/ч : ± ",INDEX(Данные!$K$53:$W$118,Данные!K51,9),"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",INDEX(Данные!$K$53:$W$118,Данные!K51,3)," м3/ч до ",INDEX(Данные!$K$53:$W$118,Данные!K51,5)," м3/ч : ± ",INDEX(Данные!$K$53:$W$118,Данные!K51,8),"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",INDEX(Данные!$K$53:$W$118,Данные!K51,5)," м3/ч до ",INDEX(Данные!$K$53:$W$118,Данные!K51,7)," м3/ч : ± ",INDEX(Данные!$K$53:$W$118,Данные!K51,9),"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25.3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24.2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58.3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66.3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104.8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104.8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6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INDEX(Данные!$K$53:$W$118,Данные!K51,2)</f>
        <v>«ГСИ. Счетчики холодной и горячей воды крыльчатые типа СВК. Методика поверки» ЛГФИ.407223.003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0.03</v>
      </c>
      <c r="AD53" s="124"/>
      <c r="AE53" s="124"/>
      <c r="AF53" s="124"/>
      <c r="AG53" s="124"/>
      <c r="AH53" s="124"/>
      <c r="AI53" s="125"/>
      <c r="AJ53" s="122" t="str">
        <f>Данные!B5</f>
        <v>60,693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60.698999999999998</v>
      </c>
      <c r="AR53" s="124"/>
      <c r="AS53" s="124"/>
      <c r="AT53" s="124"/>
      <c r="AU53" s="124"/>
      <c r="AV53" s="125"/>
      <c r="AW53" s="123">
        <f ca="1">ROUNDUP(AC53*720/3600,3)</f>
        <v>6.0000000000000001E-3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6.1000000000000004E-3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-1.6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3.2000000000000001E-2</v>
      </c>
      <c r="AD54" s="124"/>
      <c r="AE54" s="124"/>
      <c r="AF54" s="124"/>
      <c r="AG54" s="124"/>
      <c r="AH54" s="124"/>
      <c r="AI54" s="125"/>
      <c r="AJ54" s="123">
        <f ca="1">AQ53+RANDBETWEEN(1,3)/1000</f>
        <v>60.699999999999996</v>
      </c>
      <c r="AK54" s="124"/>
      <c r="AL54" s="124"/>
      <c r="AM54" s="124"/>
      <c r="AN54" s="124"/>
      <c r="AO54" s="124"/>
      <c r="AP54" s="125"/>
      <c r="AQ54" s="123">
        <f t="shared" ca="1" si="0"/>
        <v>60.706999999999994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7.1000000000000004E-3</v>
      </c>
      <c r="BE54" s="136"/>
      <c r="BF54" s="136"/>
      <c r="BG54" s="136"/>
      <c r="BH54" s="136"/>
      <c r="BI54" s="136"/>
      <c r="BJ54" s="137"/>
      <c r="BK54" s="132">
        <f t="shared" ca="1" si="1"/>
        <v>-1.4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3.3000000000000002E-2</v>
      </c>
      <c r="AD55" s="124"/>
      <c r="AE55" s="124"/>
      <c r="AF55" s="124"/>
      <c r="AG55" s="124"/>
      <c r="AH55" s="124"/>
      <c r="AI55" s="125"/>
      <c r="AJ55" s="122">
        <f ca="1">AQ54+RANDBETWEEN(1,3)/1000</f>
        <v>60.707999999999991</v>
      </c>
      <c r="AK55" s="120"/>
      <c r="AL55" s="120"/>
      <c r="AM55" s="120"/>
      <c r="AN55" s="120"/>
      <c r="AO55" s="120"/>
      <c r="AP55" s="121"/>
      <c r="AQ55" s="123">
        <f t="shared" ca="1" si="0"/>
        <v>60.714999999999989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6.8000000000000005E-3</v>
      </c>
      <c r="BE55" s="136"/>
      <c r="BF55" s="136"/>
      <c r="BG55" s="136"/>
      <c r="BH55" s="136"/>
      <c r="BI55" s="136"/>
      <c r="BJ55" s="137"/>
      <c r="BK55" s="132">
        <f t="shared" ca="1" si="1"/>
        <v>2.9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0.126</v>
      </c>
      <c r="AD56" s="124"/>
      <c r="AE56" s="124"/>
      <c r="AF56" s="124"/>
      <c r="AG56" s="124"/>
      <c r="AH56" s="124"/>
      <c r="AI56" s="125"/>
      <c r="AJ56" s="119">
        <f ca="1">AQ55+RANDBETWEEN(4,7)/1000</f>
        <v>60.721999999999987</v>
      </c>
      <c r="AK56" s="120"/>
      <c r="AL56" s="120"/>
      <c r="AM56" s="120"/>
      <c r="AN56" s="120"/>
      <c r="AO56" s="120"/>
      <c r="AP56" s="121"/>
      <c r="AQ56" s="123">
        <f t="shared" ca="1" si="0"/>
        <v>60.734999999999985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1.2900000000000002E-2</v>
      </c>
      <c r="BE56" s="136"/>
      <c r="BF56" s="136"/>
      <c r="BG56" s="136"/>
      <c r="BH56" s="136"/>
      <c r="BI56" s="136"/>
      <c r="BJ56" s="137"/>
      <c r="BK56" s="132">
        <f ca="1">ROUND(((AW56-BD56)/BD56)*100,1)</f>
        <v>0.8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0.129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60.740999999999985</v>
      </c>
      <c r="AK57" s="120"/>
      <c r="AL57" s="120"/>
      <c r="AM57" s="120"/>
      <c r="AN57" s="120"/>
      <c r="AO57" s="120"/>
      <c r="AP57" s="121"/>
      <c r="AQ57" s="123">
        <f t="shared" ca="1" si="0"/>
        <v>60.753999999999984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1.2800000000000001E-2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1.6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</v>
      </c>
      <c r="AD58" s="124"/>
      <c r="AE58" s="124"/>
      <c r="AF58" s="124"/>
      <c r="AG58" s="124"/>
      <c r="AH58" s="124"/>
      <c r="AI58" s="125"/>
      <c r="AJ58" s="119">
        <f t="shared" ca="1" si="4"/>
        <v>60.758999999999986</v>
      </c>
      <c r="AK58" s="120"/>
      <c r="AL58" s="120"/>
      <c r="AM58" s="120"/>
      <c r="AN58" s="120"/>
      <c r="AO58" s="120"/>
      <c r="AP58" s="121"/>
      <c r="AQ58" s="123">
        <f t="shared" ca="1" si="0"/>
        <v>60.771999999999984</v>
      </c>
      <c r="AR58" s="124"/>
      <c r="AS58" s="124"/>
      <c r="AT58" s="124"/>
      <c r="AU58" s="124"/>
      <c r="AV58" s="125"/>
      <c r="AW58" s="123">
        <f ca="1">ROUNDUP(AC58*360/3600,3)</f>
        <v>1.2999999999999999E-2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1.3099999999999999E-2</v>
      </c>
      <c r="BE58" s="136"/>
      <c r="BF58" s="136"/>
      <c r="BG58" s="136"/>
      <c r="BH58" s="136"/>
      <c r="BI58" s="136"/>
      <c r="BJ58" s="137"/>
      <c r="BK58" s="132">
        <f t="shared" ca="1" si="5"/>
        <v>-0.8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</v>
      </c>
      <c r="AD59" s="158"/>
      <c r="AE59" s="158"/>
      <c r="AF59" s="158"/>
      <c r="AG59" s="158"/>
      <c r="AH59" s="158"/>
      <c r="AI59" s="159"/>
      <c r="AJ59" s="174">
        <f ca="1">AQ58+RANDBETWEEN(15,18)/1000</f>
        <v>60.788999999999987</v>
      </c>
      <c r="AK59" s="175"/>
      <c r="AL59" s="175"/>
      <c r="AM59" s="175"/>
      <c r="AN59" s="175"/>
      <c r="AO59" s="175"/>
      <c r="AP59" s="176"/>
      <c r="AQ59" s="126">
        <f ca="1">AJ59+AW59</f>
        <v>60.818999999999988</v>
      </c>
      <c r="AR59" s="127"/>
      <c r="AS59" s="127"/>
      <c r="AT59" s="127"/>
      <c r="AU59" s="127"/>
      <c r="AV59" s="128"/>
      <c r="AW59" s="123">
        <f ca="1">ROUNDUP(AC59*120/3600,3)</f>
        <v>0.03</v>
      </c>
      <c r="AX59" s="130"/>
      <c r="AY59" s="130"/>
      <c r="AZ59" s="130"/>
      <c r="BA59" s="130"/>
      <c r="BB59" s="130"/>
      <c r="BC59" s="131"/>
      <c r="BD59" s="135">
        <f ca="1">AW59+RANDBETWEEN(-5,5)/10000</f>
        <v>3.04E-2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-1.3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0.94599999999999995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60.834999999999987</v>
      </c>
      <c r="AK60" s="120"/>
      <c r="AL60" s="120"/>
      <c r="AM60" s="120"/>
      <c r="AN60" s="120"/>
      <c r="AO60" s="120"/>
      <c r="AP60" s="121"/>
      <c r="AQ60" s="123">
        <f t="shared" ca="1" si="0"/>
        <v>60.866999999999983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3.1699999999999999E-2</v>
      </c>
      <c r="BE60" s="160"/>
      <c r="BF60" s="160"/>
      <c r="BG60" s="160"/>
      <c r="BH60" s="160"/>
      <c r="BI60" s="160"/>
      <c r="BJ60" s="161"/>
      <c r="BK60" s="132">
        <f ca="1">ROUND(((AW60-BD60)/BD60)*100,1)</f>
        <v>0.9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0.91100000000000003</v>
      </c>
      <c r="AD61" s="158"/>
      <c r="AE61" s="158"/>
      <c r="AF61" s="158"/>
      <c r="AG61" s="158"/>
      <c r="AH61" s="158"/>
      <c r="AI61" s="159"/>
      <c r="AJ61" s="171">
        <f ca="1">AQ60+RANDBETWEEN(15,18)/1000</f>
        <v>60.881999999999984</v>
      </c>
      <c r="AK61" s="172"/>
      <c r="AL61" s="172"/>
      <c r="AM61" s="172"/>
      <c r="AN61" s="172"/>
      <c r="AO61" s="172"/>
      <c r="AP61" s="173"/>
      <c r="AQ61" s="129">
        <f t="shared" ca="1" si="0"/>
        <v>60.912999999999982</v>
      </c>
      <c r="AR61" s="130"/>
      <c r="AS61" s="130"/>
      <c r="AT61" s="130"/>
      <c r="AU61" s="130"/>
      <c r="AV61" s="131"/>
      <c r="AW61" s="123">
        <f t="shared" ca="1" si="7"/>
        <v>3.1E-2</v>
      </c>
      <c r="AX61" s="130"/>
      <c r="AY61" s="130"/>
      <c r="AZ61" s="130"/>
      <c r="BA61" s="130"/>
      <c r="BB61" s="130"/>
      <c r="BC61" s="131"/>
      <c r="BD61" s="135">
        <f ca="1">AW61+RANDBETWEEN(-5,5)/10000</f>
        <v>3.0699999999999998E-2</v>
      </c>
      <c r="BE61" s="160"/>
      <c r="BF61" s="160"/>
      <c r="BG61" s="160"/>
      <c r="BH61" s="160"/>
      <c r="BI61" s="160"/>
      <c r="BJ61" s="161"/>
      <c r="BK61" s="132">
        <f ca="1">ROUND(((AW61-BD61)/BD61)*100,1)</f>
        <v>1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45947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5"/>
  <sheetViews>
    <sheetView zoomScale="91" zoomScaleNormal="91" workbookViewId="0">
      <selection activeCell="C3" sqref="C3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269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270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271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272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45947</v>
      </c>
      <c r="C9" s="13"/>
      <c r="D9" s="13"/>
      <c r="E9" s="13"/>
    </row>
    <row r="10" spans="1:21" ht="18" x14ac:dyDescent="0.35">
      <c r="A10" s="11" t="s">
        <v>15</v>
      </c>
      <c r="B10" s="76">
        <v>25.3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58.3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104.8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45951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MATCH(B1,K53:K118,0)</f>
        <v>11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267</v>
      </c>
      <c r="L64" s="69" t="s">
        <v>215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121</v>
      </c>
      <c r="W64" s="55" t="s">
        <v>268</v>
      </c>
      <c r="X64" s="7"/>
    </row>
    <row r="65" spans="11:24" s="60" customFormat="1" x14ac:dyDescent="0.3">
      <c r="K65" s="55" t="s">
        <v>128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129</v>
      </c>
      <c r="W65" s="55" t="s">
        <v>94</v>
      </c>
      <c r="X65" s="7"/>
    </row>
    <row r="66" spans="11:24" s="60" customFormat="1" x14ac:dyDescent="0.3">
      <c r="K66" s="55" t="s">
        <v>126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127</v>
      </c>
      <c r="W66" s="55" t="s">
        <v>94</v>
      </c>
      <c r="X66" s="7"/>
    </row>
    <row r="67" spans="11:24" s="33" customFormat="1" x14ac:dyDescent="0.3">
      <c r="K67" s="55" t="s">
        <v>92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93</v>
      </c>
      <c r="W67" s="55" t="s">
        <v>122</v>
      </c>
      <c r="X67" s="7"/>
    </row>
    <row r="68" spans="11:24" s="60" customFormat="1" x14ac:dyDescent="0.3">
      <c r="K68" s="55" t="s">
        <v>152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151</v>
      </c>
      <c r="W68" s="55" t="s">
        <v>122</v>
      </c>
      <c r="X68" s="7"/>
    </row>
    <row r="69" spans="11:24" s="60" customFormat="1" ht="19.2" customHeight="1" x14ac:dyDescent="0.3">
      <c r="K69" s="55" t="s">
        <v>207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205</v>
      </c>
      <c r="W69" s="55" t="s">
        <v>206</v>
      </c>
      <c r="X69" s="7"/>
    </row>
    <row r="70" spans="11:24" s="60" customFormat="1" ht="19.2" customHeight="1" x14ac:dyDescent="0.3">
      <c r="K70" s="68" t="s">
        <v>251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111</v>
      </c>
      <c r="X70" s="7"/>
    </row>
    <row r="71" spans="11:24" s="60" customFormat="1" ht="19.2" customHeight="1" x14ac:dyDescent="0.3">
      <c r="K71" s="68" t="s">
        <v>249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250</v>
      </c>
      <c r="W71" s="68" t="s">
        <v>131</v>
      </c>
      <c r="X71" s="7"/>
    </row>
    <row r="72" spans="11:24" s="60" customFormat="1" x14ac:dyDescent="0.3">
      <c r="K72" s="68" t="s">
        <v>130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131</v>
      </c>
      <c r="X72" s="7"/>
    </row>
    <row r="73" spans="11:24" x14ac:dyDescent="0.3">
      <c r="K73" s="68" t="s">
        <v>109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110</v>
      </c>
      <c r="W73" s="68" t="s">
        <v>111</v>
      </c>
      <c r="X73" s="7"/>
    </row>
    <row r="74" spans="11:24" s="60" customFormat="1" x14ac:dyDescent="0.3">
      <c r="K74" s="77" t="s">
        <v>201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199</v>
      </c>
      <c r="W74" s="55" t="s">
        <v>200</v>
      </c>
      <c r="X74" s="7"/>
    </row>
    <row r="75" spans="11:24" s="60" customFormat="1" x14ac:dyDescent="0.3">
      <c r="K75" s="68" t="s">
        <v>178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179</v>
      </c>
      <c r="W75" s="68" t="s">
        <v>180</v>
      </c>
      <c r="X75" s="7"/>
    </row>
    <row r="76" spans="11:24" s="60" customFormat="1" x14ac:dyDescent="0.3">
      <c r="K76" s="55" t="s">
        <v>244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245</v>
      </c>
      <c r="W76" s="68" t="s">
        <v>246</v>
      </c>
      <c r="X76" s="7"/>
    </row>
    <row r="77" spans="11:24" s="60" customFormat="1" ht="20.399999999999999" x14ac:dyDescent="0.3">
      <c r="K77" s="68" t="s">
        <v>176</v>
      </c>
      <c r="L77" s="69" t="s">
        <v>163</v>
      </c>
      <c r="M77" s="28">
        <v>0.03</v>
      </c>
      <c r="N77" s="28">
        <v>0.15</v>
      </c>
      <c r="O77" s="28">
        <v>0.12</v>
      </c>
      <c r="P77" s="28">
        <v>1.5</v>
      </c>
      <c r="Q77" s="28">
        <v>3</v>
      </c>
      <c r="R77" s="28">
        <v>5</v>
      </c>
      <c r="S77" s="28">
        <v>3</v>
      </c>
      <c r="T77" s="29" t="s">
        <v>34</v>
      </c>
      <c r="U77" s="29" t="s">
        <v>35</v>
      </c>
      <c r="V77" s="71" t="s">
        <v>175</v>
      </c>
      <c r="W77" s="68" t="s">
        <v>177</v>
      </c>
      <c r="X77" s="7"/>
    </row>
    <row r="78" spans="11:24" s="60" customFormat="1" x14ac:dyDescent="0.3">
      <c r="K78" s="68" t="s">
        <v>218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219</v>
      </c>
      <c r="W78" s="68" t="s">
        <v>186</v>
      </c>
      <c r="X78" s="7"/>
    </row>
    <row r="79" spans="11:24" s="60" customFormat="1" x14ac:dyDescent="0.3">
      <c r="K79" s="68" t="s">
        <v>216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217</v>
      </c>
      <c r="W79" s="68" t="s">
        <v>119</v>
      </c>
      <c r="X79" s="7"/>
    </row>
    <row r="80" spans="11:24" s="60" customFormat="1" x14ac:dyDescent="0.3">
      <c r="K80" s="68" t="s">
        <v>118</v>
      </c>
      <c r="L80" s="69" t="s">
        <v>163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117</v>
      </c>
      <c r="W80" s="68" t="s">
        <v>119</v>
      </c>
      <c r="X80" s="7"/>
    </row>
    <row r="81" spans="11:24" s="60" customFormat="1" ht="20.399999999999999" x14ac:dyDescent="0.3">
      <c r="K81" s="68" t="s">
        <v>258</v>
      </c>
      <c r="L81" s="69" t="s">
        <v>164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256</v>
      </c>
      <c r="W81" s="68" t="s">
        <v>257</v>
      </c>
      <c r="X81" s="7"/>
    </row>
    <row r="82" spans="11:24" s="60" customFormat="1" x14ac:dyDescent="0.3">
      <c r="K82" s="68" t="s">
        <v>181</v>
      </c>
      <c r="L82" s="69" t="s">
        <v>163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182</v>
      </c>
      <c r="W82" s="68" t="s">
        <v>183</v>
      </c>
      <c r="X82" s="7"/>
    </row>
    <row r="83" spans="11:24" s="60" customFormat="1" ht="34.200000000000003" customHeight="1" x14ac:dyDescent="0.3">
      <c r="K83" s="68" t="s">
        <v>147</v>
      </c>
      <c r="L83" s="75" t="s">
        <v>150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148</v>
      </c>
      <c r="W83" s="68" t="s">
        <v>149</v>
      </c>
      <c r="X83" s="7"/>
    </row>
    <row r="84" spans="11:24" s="60" customFormat="1" ht="34.200000000000003" customHeight="1" x14ac:dyDescent="0.3">
      <c r="K84" s="68" t="s">
        <v>242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243</v>
      </c>
      <c r="W84" s="68" t="s">
        <v>146</v>
      </c>
      <c r="X84" s="7"/>
    </row>
    <row r="85" spans="11:24" s="60" customFormat="1" x14ac:dyDescent="0.3">
      <c r="K85" s="68" t="s">
        <v>145</v>
      </c>
      <c r="L85" s="69" t="s">
        <v>163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144</v>
      </c>
      <c r="W85" s="68" t="s">
        <v>146</v>
      </c>
      <c r="X85" s="7"/>
    </row>
    <row r="86" spans="11:24" s="60" customFormat="1" ht="20.399999999999999" x14ac:dyDescent="0.3">
      <c r="K86" s="68" t="s">
        <v>142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143</v>
      </c>
      <c r="X86" s="7"/>
    </row>
    <row r="87" spans="11:24" s="60" customFormat="1" ht="20.399999999999999" x14ac:dyDescent="0.3">
      <c r="K87" s="68" t="s">
        <v>139</v>
      </c>
      <c r="L87" s="75" t="s">
        <v>228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140</v>
      </c>
      <c r="W87" s="68" t="s">
        <v>141</v>
      </c>
      <c r="X87" s="7"/>
    </row>
    <row r="88" spans="11:24" s="60" customFormat="1" ht="12.6" customHeight="1" x14ac:dyDescent="0.3">
      <c r="K88" s="68" t="s">
        <v>158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29" t="s">
        <v>159</v>
      </c>
      <c r="W88" s="55" t="s">
        <v>160</v>
      </c>
      <c r="X88" s="7"/>
    </row>
    <row r="89" spans="11:24" s="60" customFormat="1" ht="17.399999999999999" customHeight="1" x14ac:dyDescent="0.3">
      <c r="K89" s="68" t="s">
        <v>135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136</v>
      </c>
      <c r="W89" s="68" t="s">
        <v>137</v>
      </c>
      <c r="X89" s="7"/>
    </row>
    <row r="90" spans="11:24" s="60" customFormat="1" ht="21" customHeight="1" x14ac:dyDescent="0.3">
      <c r="K90" s="68" t="s">
        <v>225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113</v>
      </c>
      <c r="X90" s="7"/>
    </row>
    <row r="91" spans="11:24" s="60" customFormat="1" ht="21" customHeight="1" x14ac:dyDescent="0.3">
      <c r="K91" s="68" t="s">
        <v>223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224</v>
      </c>
      <c r="W91" s="68" t="s">
        <v>138</v>
      </c>
      <c r="X91" s="7"/>
    </row>
    <row r="92" spans="11:24" s="60" customFormat="1" x14ac:dyDescent="0.3">
      <c r="K92" s="68" t="s">
        <v>193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194</v>
      </c>
      <c r="X92" s="7"/>
    </row>
    <row r="93" spans="11:24" s="60" customFormat="1" x14ac:dyDescent="0.3">
      <c r="K93" s="68" t="s">
        <v>208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209</v>
      </c>
      <c r="X93" s="7"/>
    </row>
    <row r="94" spans="11:24" s="60" customFormat="1" x14ac:dyDescent="0.3">
      <c r="K94" s="68" t="s">
        <v>114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116</v>
      </c>
      <c r="X94" s="7"/>
    </row>
    <row r="95" spans="11:24" s="60" customFormat="1" x14ac:dyDescent="0.3">
      <c r="K95" s="68" t="s">
        <v>226</v>
      </c>
      <c r="L95" s="69" t="s">
        <v>163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115</v>
      </c>
      <c r="W95" s="68" t="s">
        <v>227</v>
      </c>
      <c r="X95" s="7"/>
    </row>
    <row r="96" spans="11:24" s="60" customFormat="1" x14ac:dyDescent="0.3">
      <c r="K96" s="68" t="s">
        <v>156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157</v>
      </c>
      <c r="X96" s="7"/>
    </row>
    <row r="97" spans="11:24" s="60" customFormat="1" x14ac:dyDescent="0.3">
      <c r="K97" s="68" t="s">
        <v>153</v>
      </c>
      <c r="L97" s="69" t="s">
        <v>164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154</v>
      </c>
      <c r="W97" s="68" t="s">
        <v>155</v>
      </c>
      <c r="X97" s="7"/>
    </row>
    <row r="98" spans="11:24" s="60" customFormat="1" ht="19.2" customHeight="1" x14ac:dyDescent="0.3">
      <c r="K98" s="68" t="s">
        <v>184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185</v>
      </c>
      <c r="W98" s="68" t="s">
        <v>186</v>
      </c>
      <c r="X98" s="7"/>
    </row>
    <row r="99" spans="11:24" s="60" customFormat="1" ht="19.2" customHeight="1" x14ac:dyDescent="0.3">
      <c r="K99" s="68" t="s">
        <v>210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211</v>
      </c>
      <c r="W99" s="68" t="s">
        <v>212</v>
      </c>
      <c r="X99" s="7"/>
    </row>
    <row r="100" spans="11:24" s="60" customFormat="1" ht="19.2" customHeight="1" x14ac:dyDescent="0.3">
      <c r="K100" s="68" t="s">
        <v>259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260</v>
      </c>
      <c r="X100" s="7"/>
    </row>
    <row r="101" spans="11:24" s="60" customFormat="1" x14ac:dyDescent="0.3">
      <c r="K101" s="68" t="s">
        <v>172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174</v>
      </c>
      <c r="W101" s="68" t="s">
        <v>173</v>
      </c>
      <c r="X101" s="7"/>
    </row>
    <row r="102" spans="11:24" s="60" customFormat="1" x14ac:dyDescent="0.3">
      <c r="K102" s="68" t="s">
        <v>161</v>
      </c>
      <c r="L102" s="69" t="s">
        <v>163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162</v>
      </c>
      <c r="W102" s="68" t="s">
        <v>125</v>
      </c>
      <c r="X102" s="7"/>
    </row>
    <row r="103" spans="11:24" s="60" customFormat="1" x14ac:dyDescent="0.3">
      <c r="K103" s="68" t="s">
        <v>123</v>
      </c>
      <c r="L103" s="69" t="s">
        <v>164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124</v>
      </c>
      <c r="W103" s="68" t="s">
        <v>125</v>
      </c>
      <c r="X103" s="7"/>
    </row>
    <row r="104" spans="11:24" s="60" customFormat="1" ht="20.399999999999999" x14ac:dyDescent="0.3">
      <c r="K104" s="68" t="s">
        <v>239</v>
      </c>
      <c r="L104" s="69" t="s">
        <v>241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240</v>
      </c>
      <c r="W104" s="68" t="s">
        <v>167</v>
      </c>
      <c r="X104" s="7"/>
    </row>
    <row r="105" spans="11:24" s="60" customFormat="1" ht="20.399999999999999" x14ac:dyDescent="0.3">
      <c r="K105" s="68" t="s">
        <v>166</v>
      </c>
      <c r="L105" s="69" t="s">
        <v>168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165</v>
      </c>
      <c r="W105" s="68" t="s">
        <v>167</v>
      </c>
      <c r="X105" s="7"/>
    </row>
    <row r="106" spans="11:24" s="60" customFormat="1" x14ac:dyDescent="0.3">
      <c r="K106" s="68" t="s">
        <v>231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232</v>
      </c>
      <c r="W106" s="68" t="s">
        <v>233</v>
      </c>
      <c r="X106" s="7"/>
    </row>
    <row r="107" spans="11:24" s="60" customFormat="1" ht="20.399999999999999" x14ac:dyDescent="0.3">
      <c r="K107" s="68" t="s">
        <v>264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265</v>
      </c>
      <c r="W107" s="68" t="s">
        <v>266</v>
      </c>
      <c r="X107" s="7"/>
    </row>
    <row r="108" spans="11:24" s="60" customFormat="1" ht="20.399999999999999" customHeight="1" x14ac:dyDescent="0.3">
      <c r="K108" s="68" t="s">
        <v>202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203</v>
      </c>
      <c r="W108" s="68" t="s">
        <v>204</v>
      </c>
      <c r="X108" s="7"/>
    </row>
    <row r="109" spans="11:24" s="60" customFormat="1" x14ac:dyDescent="0.3">
      <c r="K109" s="68" t="s">
        <v>198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199</v>
      </c>
      <c r="W109" s="68" t="s">
        <v>197</v>
      </c>
      <c r="X109" s="7"/>
    </row>
    <row r="110" spans="11:24" s="60" customFormat="1" x14ac:dyDescent="0.3">
      <c r="K110" s="68" t="s">
        <v>195</v>
      </c>
      <c r="L110" s="69" t="s">
        <v>163</v>
      </c>
      <c r="M110" s="70">
        <v>0.03</v>
      </c>
      <c r="N110" s="70">
        <v>0.15</v>
      </c>
      <c r="O110" s="70">
        <v>0.12</v>
      </c>
      <c r="P110" s="70">
        <v>1.5</v>
      </c>
      <c r="Q110" s="70">
        <v>3</v>
      </c>
      <c r="R110" s="70">
        <v>5</v>
      </c>
      <c r="S110" s="70">
        <v>2</v>
      </c>
      <c r="T110" s="71" t="s">
        <v>34</v>
      </c>
      <c r="U110" s="71" t="s">
        <v>35</v>
      </c>
      <c r="V110" s="71" t="s">
        <v>196</v>
      </c>
      <c r="W110" s="68" t="s">
        <v>197</v>
      </c>
      <c r="X110" s="7"/>
    </row>
    <row r="111" spans="11:24" s="60" customFormat="1" ht="19.8" customHeight="1" x14ac:dyDescent="0.3">
      <c r="K111" s="68" t="s">
        <v>236</v>
      </c>
      <c r="L111" s="69" t="s">
        <v>163</v>
      </c>
      <c r="M111" s="28">
        <v>0.05</v>
      </c>
      <c r="N111" s="28">
        <v>0.25</v>
      </c>
      <c r="O111" s="28">
        <v>0.2</v>
      </c>
      <c r="P111" s="28">
        <v>2.5</v>
      </c>
      <c r="Q111" s="28">
        <v>5</v>
      </c>
      <c r="R111" s="28">
        <v>5</v>
      </c>
      <c r="S111" s="28">
        <v>2</v>
      </c>
      <c r="T111" s="29" t="s">
        <v>34</v>
      </c>
      <c r="U111" s="29" t="s">
        <v>35</v>
      </c>
      <c r="V111" s="71" t="s">
        <v>237</v>
      </c>
      <c r="W111" s="68" t="s">
        <v>238</v>
      </c>
      <c r="X111" s="7"/>
    </row>
    <row r="112" spans="11:24" s="60" customFormat="1" ht="19.8" customHeight="1" x14ac:dyDescent="0.3">
      <c r="K112" s="68" t="s">
        <v>247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248</v>
      </c>
      <c r="W112" s="68" t="s">
        <v>113</v>
      </c>
      <c r="X112" s="7"/>
    </row>
    <row r="113" spans="11:24" s="60" customFormat="1" ht="19.8" customHeight="1" x14ac:dyDescent="0.3">
      <c r="K113" s="68" t="s">
        <v>263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138</v>
      </c>
      <c r="X113" s="7"/>
    </row>
    <row r="114" spans="11:24" s="60" customFormat="1" ht="19.8" customHeight="1" x14ac:dyDescent="0.3">
      <c r="K114" s="68" t="s">
        <v>262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261</v>
      </c>
      <c r="W114" s="68" t="s">
        <v>113</v>
      </c>
      <c r="X114" s="7"/>
    </row>
    <row r="115" spans="11:24" s="60" customFormat="1" ht="20.399999999999999" x14ac:dyDescent="0.3">
      <c r="K115" s="68" t="s">
        <v>255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138</v>
      </c>
      <c r="X115" s="7"/>
    </row>
    <row r="116" spans="11:24" s="60" customFormat="1" ht="20.399999999999999" x14ac:dyDescent="0.3">
      <c r="K116" s="68" t="s">
        <v>254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192</v>
      </c>
      <c r="W116" s="68" t="s">
        <v>113</v>
      </c>
      <c r="X116" s="7"/>
    </row>
    <row r="117" spans="11:24" s="60" customFormat="1" ht="20.399999999999999" x14ac:dyDescent="0.3">
      <c r="K117" s="68" t="s">
        <v>252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138</v>
      </c>
      <c r="X117" s="7"/>
    </row>
    <row r="118" spans="11:24" s="60" customFormat="1" ht="20.399999999999999" x14ac:dyDescent="0.3">
      <c r="K118" s="68" t="s">
        <v>253</v>
      </c>
      <c r="L118" s="69" t="s">
        <v>163</v>
      </c>
      <c r="M118" s="70">
        <v>0.03</v>
      </c>
      <c r="N118" s="70">
        <v>0.15</v>
      </c>
      <c r="O118" s="70">
        <v>0.12</v>
      </c>
      <c r="P118" s="70">
        <v>1.5</v>
      </c>
      <c r="Q118" s="70">
        <v>3</v>
      </c>
      <c r="R118" s="70">
        <v>5</v>
      </c>
      <c r="S118" s="70">
        <v>2</v>
      </c>
      <c r="T118" s="71" t="s">
        <v>34</v>
      </c>
      <c r="U118" s="71" t="s">
        <v>35</v>
      </c>
      <c r="V118" s="71" t="s">
        <v>112</v>
      </c>
      <c r="W118" s="68" t="s">
        <v>113</v>
      </c>
      <c r="X118" s="7"/>
    </row>
    <row r="119" spans="11:24" s="33" customFormat="1" x14ac:dyDescent="0.3">
      <c r="K119"/>
      <c r="L119" s="25"/>
      <c r="M119"/>
      <c r="N119"/>
      <c r="O119"/>
      <c r="P119"/>
      <c r="Q119"/>
      <c r="R119"/>
      <c r="S119"/>
      <c r="T119" s="6"/>
      <c r="U119" s="6"/>
      <c r="V119"/>
      <c r="X119" s="7"/>
    </row>
    <row r="120" spans="11:24" x14ac:dyDescent="0.3">
      <c r="X120" s="7"/>
    </row>
    <row r="121" spans="11:24" x14ac:dyDescent="0.3">
      <c r="X121" s="7"/>
    </row>
    <row r="122" spans="11:24" x14ac:dyDescent="0.3">
      <c r="K122" s="74"/>
      <c r="X122" s="7"/>
    </row>
    <row r="123" spans="11:24" x14ac:dyDescent="0.3">
      <c r="X123" s="7"/>
    </row>
    <row r="124" spans="11:24" x14ac:dyDescent="0.3">
      <c r="X124" s="7"/>
    </row>
    <row r="126" spans="11:24" x14ac:dyDescent="0.3">
      <c r="K126" s="60"/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8"/>
    </row>
    <row r="133" spans="24:24" x14ac:dyDescent="0.3">
      <c r="X133" s="7"/>
    </row>
    <row r="134" spans="24:24" ht="15" customHeight="1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7"/>
    </row>
    <row r="162" spans="1:24" x14ac:dyDescent="0.3">
      <c r="X162" s="202"/>
    </row>
    <row r="163" spans="1:24" x14ac:dyDescent="0.3">
      <c r="X163" s="202"/>
    </row>
    <row r="164" spans="1:24" x14ac:dyDescent="0.3"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s="33" customFormat="1" x14ac:dyDescent="0.3">
      <c r="K166"/>
      <c r="L166" s="25"/>
      <c r="M166"/>
      <c r="N166"/>
      <c r="O166"/>
      <c r="P166"/>
      <c r="Q166"/>
      <c r="R166"/>
      <c r="S166"/>
      <c r="T166" s="6"/>
      <c r="U166" s="6"/>
      <c r="V166"/>
      <c r="X166" s="202"/>
    </row>
    <row r="167" spans="1:24" x14ac:dyDescent="0.3">
      <c r="X167" s="202"/>
    </row>
    <row r="168" spans="1:24" x14ac:dyDescent="0.3">
      <c r="A168" s="57"/>
    </row>
    <row r="169" spans="1:24" x14ac:dyDescent="0.3">
      <c r="A169" s="55"/>
    </row>
    <row r="170" spans="1:24" x14ac:dyDescent="0.3">
      <c r="A170" s="57"/>
    </row>
    <row r="171" spans="1:24" x14ac:dyDescent="0.3">
      <c r="A171" s="55"/>
    </row>
    <row r="172" spans="1:24" s="33" customFormat="1" x14ac:dyDescent="0.3">
      <c r="A172" s="57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s="33" customFormat="1" x14ac:dyDescent="0.3">
      <c r="A173" s="55"/>
      <c r="K173"/>
      <c r="L173" s="25"/>
      <c r="M173"/>
      <c r="N173"/>
      <c r="O173"/>
      <c r="P173"/>
      <c r="Q173"/>
      <c r="R173"/>
      <c r="S173"/>
      <c r="T173" s="6"/>
      <c r="U173" s="6"/>
      <c r="V173"/>
    </row>
    <row r="174" spans="1:24" x14ac:dyDescent="0.3">
      <c r="A174" s="57"/>
    </row>
    <row r="175" spans="1:24" s="33" customFormat="1" x14ac:dyDescent="0.3">
      <c r="A175" s="55"/>
      <c r="K175"/>
      <c r="L175" s="25"/>
      <c r="M175"/>
      <c r="N175"/>
      <c r="O175"/>
      <c r="P175"/>
      <c r="Q175"/>
      <c r="R175"/>
      <c r="S175"/>
      <c r="T175" s="6"/>
      <c r="U175" s="6"/>
      <c r="V175"/>
    </row>
    <row r="176" spans="1:24" x14ac:dyDescent="0.3">
      <c r="A176" s="57"/>
    </row>
    <row r="177" spans="1:1" x14ac:dyDescent="0.3">
      <c r="A177" s="55"/>
    </row>
    <row r="178" spans="1:1" x14ac:dyDescent="0.3">
      <c r="A178" s="57"/>
    </row>
    <row r="179" spans="1:1" x14ac:dyDescent="0.3">
      <c r="A179" s="55"/>
    </row>
    <row r="180" spans="1:1" x14ac:dyDescent="0.3">
      <c r="A180" s="57"/>
    </row>
    <row r="181" spans="1:1" x14ac:dyDescent="0.3">
      <c r="A181" s="55"/>
    </row>
    <row r="182" spans="1:1" x14ac:dyDescent="0.3">
      <c r="A182" s="57"/>
    </row>
    <row r="183" spans="1:1" x14ac:dyDescent="0.3">
      <c r="A183" s="55"/>
    </row>
    <row r="184" spans="1:1" x14ac:dyDescent="0.3">
      <c r="A184" s="57"/>
    </row>
    <row r="185" spans="1:1" x14ac:dyDescent="0.3">
      <c r="A185" s="55"/>
    </row>
    <row r="186" spans="1:1" x14ac:dyDescent="0.3">
      <c r="A186" s="57"/>
    </row>
    <row r="187" spans="1:1" x14ac:dyDescent="0.3">
      <c r="A187" s="55"/>
    </row>
    <row r="188" spans="1:1" x14ac:dyDescent="0.3">
      <c r="A188" s="57"/>
    </row>
    <row r="189" spans="1:1" x14ac:dyDescent="0.3">
      <c r="A189" s="55"/>
    </row>
    <row r="190" spans="1:1" x14ac:dyDescent="0.3">
      <c r="A190" s="57"/>
    </row>
    <row r="191" spans="1:1" x14ac:dyDescent="0.3">
      <c r="A191" s="55"/>
    </row>
    <row r="192" spans="1:1" x14ac:dyDescent="0.3">
      <c r="A192" s="57"/>
    </row>
    <row r="193" spans="1:1" x14ac:dyDescent="0.3">
      <c r="A193" s="55"/>
    </row>
    <row r="194" spans="1:1" x14ac:dyDescent="0.3">
      <c r="A194" s="57"/>
    </row>
    <row r="195" spans="1:1" x14ac:dyDescent="0.3">
      <c r="A195" s="55"/>
    </row>
    <row r="196" spans="1:1" x14ac:dyDescent="0.3">
      <c r="A196" s="57"/>
    </row>
    <row r="197" spans="1:1" x14ac:dyDescent="0.3">
      <c r="A197" s="55"/>
    </row>
    <row r="198" spans="1:1" x14ac:dyDescent="0.3">
      <c r="A198" s="57"/>
    </row>
    <row r="199" spans="1:1" x14ac:dyDescent="0.3">
      <c r="A199" s="55"/>
    </row>
    <row r="200" spans="1:1" x14ac:dyDescent="0.3">
      <c r="A200" s="57"/>
    </row>
    <row r="201" spans="1:1" x14ac:dyDescent="0.3">
      <c r="A201" s="55"/>
    </row>
    <row r="202" spans="1:1" x14ac:dyDescent="0.3">
      <c r="A202" s="57"/>
    </row>
    <row r="203" spans="1:1" x14ac:dyDescent="0.3">
      <c r="A203" s="55"/>
    </row>
    <row r="204" spans="1:1" x14ac:dyDescent="0.3">
      <c r="A204" s="57"/>
    </row>
    <row r="205" spans="1:1" x14ac:dyDescent="0.3">
      <c r="A205" s="55"/>
    </row>
    <row r="206" spans="1:1" x14ac:dyDescent="0.3">
      <c r="A206" s="57"/>
    </row>
    <row r="207" spans="1:1" x14ac:dyDescent="0.3">
      <c r="A207" s="55"/>
    </row>
    <row r="208" spans="1:1" x14ac:dyDescent="0.3">
      <c r="A208" s="57"/>
    </row>
    <row r="209" spans="1:1" x14ac:dyDescent="0.3">
      <c r="A209" s="55"/>
    </row>
    <row r="210" spans="1:1" x14ac:dyDescent="0.3">
      <c r="A210" s="57"/>
    </row>
    <row r="211" spans="1:1" x14ac:dyDescent="0.3">
      <c r="A211" s="55"/>
    </row>
    <row r="212" spans="1:1" x14ac:dyDescent="0.3">
      <c r="A212" s="57"/>
    </row>
    <row r="213" spans="1:1" x14ac:dyDescent="0.3">
      <c r="A213" s="55"/>
    </row>
    <row r="214" spans="1:1" x14ac:dyDescent="0.3">
      <c r="A214" s="57"/>
    </row>
    <row r="215" spans="1:1" x14ac:dyDescent="0.3">
      <c r="A215" s="55"/>
    </row>
    <row r="216" spans="1:1" x14ac:dyDescent="0.3">
      <c r="A216" s="57"/>
    </row>
    <row r="217" spans="1:1" x14ac:dyDescent="0.3">
      <c r="A217" s="55"/>
    </row>
    <row r="218" spans="1:1" x14ac:dyDescent="0.3">
      <c r="A218" s="57"/>
    </row>
    <row r="219" spans="1:1" x14ac:dyDescent="0.3">
      <c r="A219" s="55"/>
    </row>
    <row r="220" spans="1:1" x14ac:dyDescent="0.3">
      <c r="A220" s="57"/>
    </row>
    <row r="221" spans="1:1" x14ac:dyDescent="0.3">
      <c r="A221" s="55"/>
    </row>
    <row r="222" spans="1:1" x14ac:dyDescent="0.3">
      <c r="A222" s="57"/>
    </row>
    <row r="223" spans="1:1" x14ac:dyDescent="0.3">
      <c r="A223" s="55"/>
    </row>
    <row r="224" spans="1:1" x14ac:dyDescent="0.3">
      <c r="A224" s="57"/>
    </row>
    <row r="225" spans="1:1" x14ac:dyDescent="0.3">
      <c r="A225" s="55"/>
    </row>
    <row r="226" spans="1:1" x14ac:dyDescent="0.3">
      <c r="A226" s="57"/>
    </row>
    <row r="227" spans="1:1" x14ac:dyDescent="0.3">
      <c r="A227" s="55"/>
    </row>
    <row r="228" spans="1:1" x14ac:dyDescent="0.3">
      <c r="A228" s="57"/>
    </row>
    <row r="229" spans="1:1" x14ac:dyDescent="0.3">
      <c r="A229" s="55"/>
    </row>
    <row r="230" spans="1:1" x14ac:dyDescent="0.3">
      <c r="A230" s="57"/>
    </row>
    <row r="231" spans="1:1" x14ac:dyDescent="0.3">
      <c r="A231" s="55"/>
    </row>
    <row r="232" spans="1:1" x14ac:dyDescent="0.3">
      <c r="A232" s="57"/>
    </row>
    <row r="233" spans="1:1" x14ac:dyDescent="0.3">
      <c r="A233" s="55"/>
    </row>
    <row r="234" spans="1:1" x14ac:dyDescent="0.3">
      <c r="A234" s="57"/>
    </row>
    <row r="235" spans="1:1" x14ac:dyDescent="0.3">
      <c r="A235" s="55"/>
    </row>
    <row r="236" spans="1:1" x14ac:dyDescent="0.3">
      <c r="A236" s="57"/>
    </row>
    <row r="237" spans="1:1" x14ac:dyDescent="0.3">
      <c r="A237" s="55"/>
    </row>
    <row r="238" spans="1:1" x14ac:dyDescent="0.3">
      <c r="A238" s="57"/>
    </row>
    <row r="239" spans="1:1" x14ac:dyDescent="0.3">
      <c r="A239" s="55"/>
    </row>
    <row r="240" spans="1:1" x14ac:dyDescent="0.3">
      <c r="A240" s="57"/>
    </row>
    <row r="241" spans="1:1" x14ac:dyDescent="0.3">
      <c r="A241" s="56"/>
    </row>
    <row r="242" spans="1:1" x14ac:dyDescent="0.3">
      <c r="A242" s="57"/>
    </row>
    <row r="243" spans="1:1" x14ac:dyDescent="0.3">
      <c r="A243" s="55"/>
    </row>
    <row r="244" spans="1:1" x14ac:dyDescent="0.3">
      <c r="A244" s="57"/>
    </row>
    <row r="245" spans="1:1" x14ac:dyDescent="0.3">
      <c r="A245" s="55"/>
    </row>
    <row r="246" spans="1:1" x14ac:dyDescent="0.3">
      <c r="A246" s="57"/>
    </row>
    <row r="247" spans="1:1" x14ac:dyDescent="0.3">
      <c r="A247" s="55"/>
    </row>
    <row r="248" spans="1:1" x14ac:dyDescent="0.3">
      <c r="A248" s="57"/>
    </row>
    <row r="249" spans="1:1" x14ac:dyDescent="0.3">
      <c r="A249" s="56"/>
    </row>
    <row r="250" spans="1:1" x14ac:dyDescent="0.3">
      <c r="A250" s="57"/>
    </row>
    <row r="251" spans="1:1" x14ac:dyDescent="0.3">
      <c r="A251" s="56"/>
    </row>
    <row r="252" spans="1:1" x14ac:dyDescent="0.3">
      <c r="A252" s="58"/>
    </row>
    <row r="253" spans="1:1" x14ac:dyDescent="0.3">
      <c r="A253" s="56"/>
    </row>
    <row r="254" spans="1:1" x14ac:dyDescent="0.3">
      <c r="A254" s="57"/>
    </row>
    <row r="255" spans="1:1" x14ac:dyDescent="0.3">
      <c r="A255" s="56"/>
    </row>
    <row r="256" spans="1:1" x14ac:dyDescent="0.3">
      <c r="A256" s="57"/>
    </row>
    <row r="257" spans="1:1" x14ac:dyDescent="0.3">
      <c r="A257" s="56"/>
    </row>
    <row r="258" spans="1:1" x14ac:dyDescent="0.3">
      <c r="A258" s="57"/>
    </row>
    <row r="259" spans="1:1" x14ac:dyDescent="0.3">
      <c r="A259" s="55"/>
    </row>
    <row r="260" spans="1:1" x14ac:dyDescent="0.3">
      <c r="A260" s="57"/>
    </row>
    <row r="261" spans="1:1" x14ac:dyDescent="0.3">
      <c r="A261" s="55"/>
    </row>
    <row r="262" spans="1:1" x14ac:dyDescent="0.3">
      <c r="A262" s="57"/>
    </row>
    <row r="263" spans="1:1" x14ac:dyDescent="0.3">
      <c r="A263" s="55"/>
    </row>
    <row r="264" spans="1:1" x14ac:dyDescent="0.3">
      <c r="A264" s="57"/>
    </row>
    <row r="265" spans="1:1" x14ac:dyDescent="0.3">
      <c r="A265" s="55"/>
    </row>
  </sheetData>
  <mergeCells count="4">
    <mergeCell ref="X162:X167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$K$53:$K$718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2025-09-30T16:38:33Z</cp:lastPrinted>
  <dcterms:created xsi:type="dcterms:W3CDTF">2015-01-22T18:16:29Z</dcterms:created>
  <dcterms:modified xsi:type="dcterms:W3CDTF">2025-10-21T06:16:05Z</dcterms:modified>
</cp:coreProperties>
</file>