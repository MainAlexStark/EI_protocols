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F93F105A-E4F2-446C-A991-E1AA44215F30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<sst xmlns="http://schemas.openxmlformats.org/spreadsheetml/2006/main" count="499" uniqueCount="271">
  <si>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</si>
  <si>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</si>
  <si>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</si>
  <si>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</si>
  <si>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</si>
  <si>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</si>
  <si>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</si>
  <si>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</si>
  <si>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</si>
  <si>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</si>
  <si>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</si>
  <si>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</si>
  <si>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</si>
  <si>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</si>
  <si>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</si>
  <si>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</si>
  <si>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</si>
  <si>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</si>
  <si>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</si>
  <si>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</si>
  <si>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</si>
  <si>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</si>
  <si>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</si>
  <si>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</si>
  <si>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</si>
  <si>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</si>
  <si>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</si>
  <si>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</si>
  <si>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</si>
  <si>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</si>
  <si>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</si>
  <si>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</si>
  <si>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</si>
  <si>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</si>
  <si>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</si>
  <si>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</si>
  <si>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</si>
  <si>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</si>
  <si>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</si>
  <si>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</si>
  <si>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</si>
  <si>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</si>
  <si>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</si>
  <si>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</si>
  <si>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</si>
  <si>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</si>
  <si>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</si>
  <si>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</si>
  <si>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</si>
  <si>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</si>
  <si>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</si>
  <si>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</si>
  <si>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</si>
  <si>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</si>
  <si>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</si>
  <si>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</si>
  <si>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</si>
  <si>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</si>
  <si>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</si>
  <si>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</si>
  <si>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</si>
  <si>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</si>
  <si>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</si>
  <si>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</si>
  <si>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</si>
  <si>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</si>
  <si>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</si>
  <si>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</si>
  <si>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</si>
  <si>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</si>
  <si>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</si>
  <si>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</si>
  <si>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</si>
  <si>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</si>
  <si>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</si>
  <si>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</si>
  <si>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</si>
  <si>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</si>
  <si>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</si>
  <si>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</si>
  <si>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</si>
  <si>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</si>
  <si>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</si>
  <si>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</si>
  <si>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</si>
  <si>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</si>
  <si>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</si>
  <si>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</si>
  <si>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</si>
  <si>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</si>
  <si>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</si>
  <si>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</si>
  <si>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</si>
  <si>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</si>
  <si>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</si>
  <si>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</si>
  <si>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</si>
  <si>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</si>
  <si>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</si>
  <si>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</si>
  <si>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</si>
  <si>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</si>
  <si>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</si>
  <si>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</si>
  <si>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</si>
  <si>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</si>
  <si>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</si>
  <si>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</si>
  <si>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</si>
  <si>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</si>
  <si>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</si>
  <si>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</si>
  <si>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</si>
  <si>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</si>
  <si>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</si>
  <si>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</si>
  <si>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</si>
  <si>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</si>
  <si>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</si>
  <si>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</si>
  <si>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</si>
  <si>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</si>
  <si>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</si>
  <si>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</si>
  <si>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</si>
  <si>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</si>
  <si>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</si>
  <si>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</si>
  <si>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</si>
  <si>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</si>
  <si>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</si>
  <si>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</si>
  <si>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</si>
  <si>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</si>
  <si>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</si>
  <si>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</si>
  <si>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</si>
  <si>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</si>
  <si>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</si>
  <si>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</si>
  <si>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</si>
  <si>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</si>
  <si>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</si>
  <si>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</si>
  <si>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</si>
  <si>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</si>
  <si>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</si>
  <si>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</si>
  <si>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</si>
  <si>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</si>
  <si>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</si>
  <si>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</si>
  <si>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</si>
  <si>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</si>
  <si>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</si>
  <si>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</si>
  <si>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</si>
  <si>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</si>
  <si>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</si>
  <si>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</si>
  <si>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</si>
  <si>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</si>
  <si>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</si>
  <si>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</si>
  <si>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</si>
  <si>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</si>
  <si>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</si>
  <si>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</si>
  <si>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</si>
  <si>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</si>
  <si>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</si>
  <si>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</si>
  <si>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</si>
  <si>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</si>
  <si>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</si>
  <si>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</si>
  <si>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</si>
  <si>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</si>
  <si>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</si>
  <si>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</si>
  <si>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</si>
  <si>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</si>
  <si>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</si>
  <si>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</si>
  <si>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</si>
  <si>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</si>
  <si>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</si>
  <si>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</si>
  <si>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</si>
  <si>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</si>
  <si>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</si>
  <si>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</si>
  <si>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</si>
  <si>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</si>
  <si>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</si>
  <si>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</si>
  <si>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</si>
  <si>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</si>
  <si>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</si>
  <si>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</si>
  <si>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</si>
  <si>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</si>
  <si>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</si>
  <si>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</si>
  <si>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</si>
  <si>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</si>
  <si>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</si>
  <si>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</si>
  <si>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</si>
  <si>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</si>
  <si>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</si>
  <si>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</si>
  <si>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</si>
  <si>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</si>
  <si>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</si>
  <si>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</si>
  <si>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</si>
  <si>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</si>
  <si>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</si>
  <si>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</si>
  <si>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</si>
  <si>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</si>
  <si>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</si>
  <si>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</si>
  <si>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</si>
  <si>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</si>
  <si>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</si>
  <si>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</si>
  <si>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</si>
  <si>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</si>
  <si>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</si>
  <si>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</si>
  <si>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</si>
  <si>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</si>
  <si>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</si>
  <si>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</si>
  <si>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</si>
  <si>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</si>
  <si>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</si>
  <si>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</si>
  <si>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</si>
  <si>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</si>
  <si>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</si>
  <si>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</si>
  <si>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</si>
  <si>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</si>
  <si>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</si>
  <si>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</si>
  <si>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</si>
  <si>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</si>
  <si>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</si>
  <si>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</si>
  <si>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</si>
  <si>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</si>
  <si>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</si>
  <si>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</si>
  <si>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</si>
  <si>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</si>
  <si>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</si>
  <si>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</si>
  <si>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</si>
  <si>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</si>
  <si>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</si>
  <si>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</si>
  <si>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</si>
  <si>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</si>
  <si>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</si>
  <si>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01410</t>
  </si>
  <si>
    <t>8379821к19</t>
  </si>
  <si>
    <t>г.Киров, ул.Социалистическая 11-70</t>
  </si>
  <si>
    <t>05.11.2025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</si>
</sst>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№ЕИ-04/02-01410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2019, заводской № 8379821к19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ул.Социалистическая 11-70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25.900000000000002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51.4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60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68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>
        <f>Данные!B5</f>
        <v>92.3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92.305999999999997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92.307999999999993</v>
      </c>
      <c r="AK54" s="144"/>
      <c r="AL54" s="144"/>
      <c r="AM54" s="144"/>
      <c r="AN54" s="144"/>
      <c r="AO54" s="144"/>
      <c r="AP54" s="145"/>
      <c r="AQ54" s="143">
        <f t="shared" ca="1" si="0"/>
        <v>92.314999999999998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2.9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92.317999999999998</v>
      </c>
      <c r="AK55" s="149"/>
      <c r="AL55" s="149"/>
      <c r="AM55" s="149"/>
      <c r="AN55" s="149"/>
      <c r="AO55" s="149"/>
      <c r="AP55" s="150"/>
      <c r="AQ55" s="143">
        <f t="shared" ca="1" si="0"/>
        <v>92.325000000000003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</v>
      </c>
      <c r="AD56" s="144"/>
      <c r="AE56" s="144"/>
      <c r="AF56" s="144"/>
      <c r="AG56" s="144"/>
      <c r="AH56" s="144"/>
      <c r="AI56" s="145"/>
      <c r="AJ56" s="128">
        <f ca="1">AQ55+RANDBETWEEN(4,7)/1000</f>
        <v>92.332000000000008</v>
      </c>
      <c r="AK56" s="149"/>
      <c r="AL56" s="149"/>
      <c r="AM56" s="149"/>
      <c r="AN56" s="149"/>
      <c r="AO56" s="149"/>
      <c r="AP56" s="150"/>
      <c r="AQ56" s="143">
        <f t="shared" ca="1" si="0"/>
        <v>92.345000000000013</v>
      </c>
      <c r="AR56" s="144"/>
      <c r="AS56" s="144"/>
      <c r="AT56" s="144"/>
      <c r="AU56" s="144"/>
      <c r="AV56" s="145"/>
      <c r="AW56" s="143">
        <f ca="1">ROUNDUP(AC56*360/3600,3)</f>
        <v>1.2999999999999999E-2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1.3099999999999999E-2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0.126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92.352000000000018</v>
      </c>
      <c r="AK57" s="149"/>
      <c r="AL57" s="149"/>
      <c r="AM57" s="149"/>
      <c r="AN57" s="149"/>
      <c r="AO57" s="149"/>
      <c r="AP57" s="150"/>
      <c r="AQ57" s="143">
        <f t="shared" ca="1" si="0"/>
        <v>92.365000000000023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1.3100000000000001E-2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0.13100000000000001</v>
      </c>
      <c r="AD58" s="144"/>
      <c r="AE58" s="144"/>
      <c r="AF58" s="144"/>
      <c r="AG58" s="144"/>
      <c r="AH58" s="144"/>
      <c r="AI58" s="145"/>
      <c r="AJ58" s="128">
        <f t="shared" ca="1" si="4"/>
        <v>92.371000000000024</v>
      </c>
      <c r="AK58" s="149"/>
      <c r="AL58" s="149"/>
      <c r="AM58" s="149"/>
      <c r="AN58" s="149"/>
      <c r="AO58" s="149"/>
      <c r="AP58" s="150"/>
      <c r="AQ58" s="143">
        <f t="shared" ca="1" si="0"/>
        <v>92.385000000000019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1.3999999999999999E-2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0.91500000000000004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92.401000000000025</v>
      </c>
      <c r="AK59" s="154"/>
      <c r="AL59" s="154"/>
      <c r="AM59" s="154"/>
      <c r="AN59" s="154"/>
      <c r="AO59" s="154"/>
      <c r="AP59" s="155"/>
      <c r="AQ59" s="189">
        <f ca="1">AJ59+AW59</f>
        <v>92.432000000000031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0.95899999999999996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92.449000000000026</v>
      </c>
      <c r="AK60" s="149"/>
      <c r="AL60" s="149"/>
      <c r="AM60" s="149"/>
      <c r="AN60" s="149"/>
      <c r="AO60" s="149"/>
      <c r="AP60" s="150"/>
      <c r="AQ60" s="143">
        <f t="shared" ca="1" si="0"/>
        <v>92.481000000000023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3.1600000000000003E-2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</v>
      </c>
      <c r="AD61" s="129"/>
      <c r="AE61" s="129"/>
      <c r="AF61" s="129"/>
      <c r="AG61" s="129"/>
      <c r="AH61" s="129"/>
      <c r="AI61" s="130"/>
      <c r="AJ61" s="91">
        <f ca="1">AQ60+RANDBETWEEN(15,18)/1000</f>
        <v>92.496000000000024</v>
      </c>
      <c r="AK61" s="92"/>
      <c r="AL61" s="92"/>
      <c r="AM61" s="92"/>
      <c r="AN61" s="92"/>
      <c r="AO61" s="92"/>
      <c r="AP61" s="93"/>
      <c r="AQ61" s="192">
        <f t="shared" ca="1" si="0"/>
        <v>92.527000000000029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 t="str">
        <f>Данные!B9</f>
        <v>05.11.2025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92.3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24.3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51.4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2025-10-18T10:19:11Z</cp:lastPrinted>
  <dcterms:created xsi:type="dcterms:W3CDTF">2015-01-22T18:16:29Z</dcterms:created>
  <dcterms:modified xsi:type="dcterms:W3CDTF">2025-11-13T17:33:08Z</dcterms:modified>
</cp:coreProperties>
</file>