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9F9B7607-27A1-48DC-812D-2352A66D0844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<sst xmlns="http://schemas.openxmlformats.org/spreadsheetml/2006/main" count="499" uniqueCount="271">
  <si>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</si>
  <si>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</si>
  <si>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</si>
  <si>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</si>
  <si>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</si>
  <si>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</si>
  <si>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</si>
  <si>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</si>
  <si>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</si>
  <si>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</si>
  <si>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</si>
  <si>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</si>
  <si>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</si>
  <si>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</si>
  <si>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</si>
  <si>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</si>
  <si>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</si>
  <si>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</si>
  <si>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</si>
  <si>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</si>
  <si>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</si>
  <si>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</si>
  <si>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</si>
  <si>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</si>
  <si>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</si>
  <si>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</si>
  <si>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</si>
  <si>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</si>
  <si>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</si>
  <si>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</si>
  <si>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</si>
  <si>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</si>
  <si>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</si>
  <si>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</si>
  <si>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</si>
  <si>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</si>
  <si>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</si>
  <si>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</si>
  <si>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</si>
  <si>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</si>
  <si>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</si>
  <si>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</si>
  <si>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</si>
  <si>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</si>
  <si>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</si>
  <si>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</si>
  <si>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</si>
  <si>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</si>
  <si>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</si>
  <si>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</si>
  <si>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</si>
  <si>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</si>
  <si>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</si>
  <si>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</si>
  <si>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</si>
  <si>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</si>
  <si>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</si>
  <si>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</si>
  <si>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</si>
  <si>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</si>
  <si>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</si>
  <si>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</si>
  <si>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</si>
  <si>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</si>
  <si>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</si>
  <si>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</si>
  <si>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</si>
  <si>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</si>
  <si>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</si>
  <si>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</si>
  <si>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</si>
  <si>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</si>
  <si>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</si>
  <si>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</si>
  <si>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</si>
  <si>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</si>
  <si>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</si>
  <si>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</si>
  <si>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</si>
  <si>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</si>
  <si>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</si>
  <si>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</si>
  <si>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</si>
  <si>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</si>
  <si>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</si>
  <si>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</si>
  <si>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</si>
  <si>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</si>
  <si>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</si>
  <si>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</si>
  <si>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</si>
  <si>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</si>
  <si>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</si>
  <si>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</si>
  <si>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</si>
  <si>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</si>
  <si>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</si>
  <si>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</si>
  <si>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</si>
  <si>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</si>
  <si>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</si>
  <si>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</si>
  <si>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</si>
  <si>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</si>
  <si>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</si>
  <si>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</si>
  <si>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</si>
  <si>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</si>
  <si>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</si>
  <si>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</si>
  <si>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</si>
  <si>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</si>
  <si>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</si>
  <si>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</si>
  <si>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</si>
  <si>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</si>
  <si>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</si>
  <si>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</si>
  <si>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</si>
  <si>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</si>
  <si>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</si>
  <si>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</si>
  <si>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</si>
  <si>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</si>
  <si>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</si>
  <si>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</si>
  <si>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</si>
  <si>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</si>
  <si>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</si>
  <si>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</si>
  <si>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</si>
  <si>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</si>
  <si>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</si>
  <si>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</si>
  <si>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</si>
  <si>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</si>
  <si>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</si>
  <si>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</si>
  <si>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</si>
  <si>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</si>
  <si>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</si>
  <si>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</si>
  <si>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</si>
  <si>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</si>
  <si>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</si>
  <si>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</si>
  <si>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</si>
  <si>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</si>
  <si>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</si>
  <si>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</si>
  <si>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</si>
  <si>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</si>
  <si>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</si>
  <si>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</si>
  <si>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</si>
  <si>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</si>
  <si>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</si>
  <si>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</si>
  <si>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</si>
  <si>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</si>
  <si>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</si>
  <si>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</si>
  <si>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</si>
  <si>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</si>
  <si>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</si>
  <si>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</si>
  <si>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</si>
  <si>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</si>
  <si>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</si>
  <si>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</si>
  <si>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</si>
  <si>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</si>
  <si>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</si>
  <si>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</si>
  <si>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</si>
  <si>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</si>
  <si>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</si>
  <si>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</si>
  <si>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</si>
  <si>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</si>
  <si>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</si>
  <si>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</si>
  <si>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</si>
  <si>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</si>
  <si>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</si>
  <si>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</si>
  <si>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</si>
  <si>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</si>
  <si>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</si>
  <si>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</si>
  <si>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</si>
  <si>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</si>
  <si>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</si>
  <si>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</si>
  <si>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</si>
  <si>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</si>
  <si>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</si>
  <si>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</si>
  <si>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</si>
  <si>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</si>
  <si>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</si>
  <si>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</si>
  <si>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</si>
  <si>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</si>
  <si>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</si>
  <si>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</si>
  <si>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</si>
  <si>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</si>
  <si>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</si>
  <si>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</si>
  <si>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</si>
  <si>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</si>
  <si>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</si>
  <si>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</si>
  <si>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</si>
  <si>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</si>
  <si>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</si>
  <si>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</si>
  <si>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</si>
  <si>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</si>
  <si>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</si>
  <si>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</si>
  <si>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</si>
  <si>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</si>
  <si>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</si>
  <si>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</si>
  <si>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</si>
  <si>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</si>
  <si>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</si>
  <si>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</si>
  <si>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</si>
  <si>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</si>
  <si>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</si>
  <si>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</si>
  <si>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</si>
  <si>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</si>
  <si>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</si>
  <si>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</si>
  <si>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</si>
  <si>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</si>
  <si>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</si>
  <si>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</si>
  <si>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</si>
  <si>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</si>
  <si>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</si>
  <si>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</si>
  <si>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</si>
  <si>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</si>
  <si>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</si>
  <si>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</si>
  <si>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</si>
  <si>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</si>
  <si>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</si>
  <si>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</si>
  <si>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</si>
  <si>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</si>
  <si>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</si>
  <si>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</si>
  <si>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</si>
  <si>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</si>
  <si>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</si>
  <si>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</si>
  <si>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</si>
  <si>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</si>
  <si>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</si>
  <si>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</si>
  <si>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</si>
  <si>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01400</t>
  </si>
  <si>
    <t>1012160543104</t>
  </si>
  <si>
    <t>Яранский район, м. Опытное Поле, ул.Мира 17</t>
  </si>
  <si>
    <t>30.10.2025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</si>
</sst>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№ЕИ-04/02-01400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 15-3-2, год изготовления 2013, заводской № 1012160543104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м. Опытное Поле, ул.Мира 17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23.3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21.6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51.1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56.300000000000004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101.2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101.2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13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8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>
        <f>Данные!B5</f>
        <v>624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624.00599999999997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5.8999999999999999E-3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1.7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624.00799999999992</v>
      </c>
      <c r="AK54" s="124"/>
      <c r="AL54" s="124"/>
      <c r="AM54" s="124"/>
      <c r="AN54" s="124"/>
      <c r="AO54" s="124"/>
      <c r="AP54" s="125"/>
      <c r="AQ54" s="123">
        <f t="shared" ca="1" si="0"/>
        <v>624.01499999999987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7.1999999999999998E-3</v>
      </c>
      <c r="BE54" s="136"/>
      <c r="BF54" s="136"/>
      <c r="BG54" s="136"/>
      <c r="BH54" s="136"/>
      <c r="BI54" s="136"/>
      <c r="BJ54" s="137"/>
      <c r="BK54" s="132">
        <f t="shared" ca="1" si="1"/>
        <v>-2.8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3.3000000000000002E-2</v>
      </c>
      <c r="AD55" s="124"/>
      <c r="AE55" s="124"/>
      <c r="AF55" s="124"/>
      <c r="AG55" s="124"/>
      <c r="AH55" s="124"/>
      <c r="AI55" s="125"/>
      <c r="AJ55" s="122">
        <f ca="1">AQ54+RANDBETWEEN(1,3)/1000</f>
        <v>624.01699999999983</v>
      </c>
      <c r="AK55" s="120"/>
      <c r="AL55" s="120"/>
      <c r="AM55" s="120"/>
      <c r="AN55" s="120"/>
      <c r="AO55" s="120"/>
      <c r="AP55" s="121"/>
      <c r="AQ55" s="123">
        <f t="shared" ca="1" si="0"/>
        <v>624.02399999999977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7.3000000000000001E-3</v>
      </c>
      <c r="BE55" s="136"/>
      <c r="BF55" s="136"/>
      <c r="BG55" s="136"/>
      <c r="BH55" s="136"/>
      <c r="BI55" s="136"/>
      <c r="BJ55" s="137"/>
      <c r="BK55" s="132">
        <f t="shared" ca="1" si="1"/>
        <v>-4.0999999999999996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</v>
      </c>
      <c r="AD56" s="124"/>
      <c r="AE56" s="124"/>
      <c r="AF56" s="124"/>
      <c r="AG56" s="124"/>
      <c r="AH56" s="124"/>
      <c r="AI56" s="125"/>
      <c r="AJ56" s="119">
        <f ca="1">AQ55+RANDBETWEEN(4,7)/1000</f>
        <v>624.02899999999977</v>
      </c>
      <c r="AK56" s="120"/>
      <c r="AL56" s="120"/>
      <c r="AM56" s="120"/>
      <c r="AN56" s="120"/>
      <c r="AO56" s="120"/>
      <c r="AP56" s="121"/>
      <c r="AQ56" s="123">
        <f t="shared" ca="1" si="0"/>
        <v>624.0419999999998</v>
      </c>
      <c r="AR56" s="124"/>
      <c r="AS56" s="124"/>
      <c r="AT56" s="124"/>
      <c r="AU56" s="124"/>
      <c r="AV56" s="125"/>
      <c r="AW56" s="123">
        <f ca="1">ROUNDUP(AC56*360/3600,3)</f>
        <v>1.2999999999999999E-2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1.29E-2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0.8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0.13300000000000001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624.0469999999998</v>
      </c>
      <c r="AK57" s="120"/>
      <c r="AL57" s="120"/>
      <c r="AM57" s="120"/>
      <c r="AN57" s="120"/>
      <c r="AO57" s="120"/>
      <c r="AP57" s="121"/>
      <c r="AQ57" s="123">
        <f t="shared" ca="1" si="0"/>
        <v>624.06099999999981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1.3799999999999998E-2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1.4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0.128</v>
      </c>
      <c r="AD58" s="124"/>
      <c r="AE58" s="124"/>
      <c r="AF58" s="124"/>
      <c r="AG58" s="124"/>
      <c r="AH58" s="124"/>
      <c r="AI58" s="125"/>
      <c r="AJ58" s="119">
        <f t="shared" ca="1" si="4"/>
        <v>624.06799999999976</v>
      </c>
      <c r="AK58" s="120"/>
      <c r="AL58" s="120"/>
      <c r="AM58" s="120"/>
      <c r="AN58" s="120"/>
      <c r="AO58" s="120"/>
      <c r="AP58" s="121"/>
      <c r="AQ58" s="123">
        <f t="shared" ca="1" si="0"/>
        <v>624.08099999999979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1.3100000000000001E-2</v>
      </c>
      <c r="BE58" s="136"/>
      <c r="BF58" s="136"/>
      <c r="BG58" s="136"/>
      <c r="BH58" s="136"/>
      <c r="BI58" s="136"/>
      <c r="BJ58" s="137"/>
      <c r="BK58" s="132">
        <f t="shared" ca="1" si="5"/>
        <v>-0.8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0.93300000000000005</v>
      </c>
      <c r="AD59" s="158"/>
      <c r="AE59" s="158"/>
      <c r="AF59" s="158"/>
      <c r="AG59" s="158"/>
      <c r="AH59" s="158"/>
      <c r="AI59" s="159"/>
      <c r="AJ59" s="174">
        <f ca="1">AQ58+RANDBETWEEN(15,18)/1000</f>
        <v>624.09599999999978</v>
      </c>
      <c r="AK59" s="175"/>
      <c r="AL59" s="175"/>
      <c r="AM59" s="175"/>
      <c r="AN59" s="175"/>
      <c r="AO59" s="175"/>
      <c r="AP59" s="176"/>
      <c r="AQ59" s="126">
        <f ca="1">AJ59+AW59</f>
        <v>624.12799999999982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3.2399999999999998E-2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-1.2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0.96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624.14399999999978</v>
      </c>
      <c r="AK60" s="120"/>
      <c r="AL60" s="120"/>
      <c r="AM60" s="120"/>
      <c r="AN60" s="120"/>
      <c r="AO60" s="120"/>
      <c r="AP60" s="121"/>
      <c r="AQ60" s="123">
        <f t="shared" ca="1" si="0"/>
        <v>624.17599999999982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3.2000000000000001E-2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0.93100000000000005</v>
      </c>
      <c r="AD61" s="158"/>
      <c r="AE61" s="158"/>
      <c r="AF61" s="158"/>
      <c r="AG61" s="158"/>
      <c r="AH61" s="158"/>
      <c r="AI61" s="159"/>
      <c r="AJ61" s="171">
        <f ca="1">AQ60+RANDBETWEEN(15,18)/1000</f>
        <v>624.19199999999978</v>
      </c>
      <c r="AK61" s="172"/>
      <c r="AL61" s="172"/>
      <c r="AM61" s="172"/>
      <c r="AN61" s="172"/>
      <c r="AO61" s="172"/>
      <c r="AP61" s="173"/>
      <c r="AQ61" s="129">
        <f t="shared" ca="1" si="0"/>
        <v>624.22399999999982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3.2399999999999998E-2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-1.2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30.10.2025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624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270</v>
      </c>
      <c r="C9" s="13"/>
      <c r="D9" s="13"/>
      <c r="E9" s="13"/>
    </row>
    <row r="10" spans="1:21" ht="18" x14ac:dyDescent="0.35">
      <c r="A10" s="11" t="s">
        <v>15</v>
      </c>
      <c r="B10" s="76">
        <v>23.3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51.1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13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8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2025-09-30T16:14:58Z</cp:lastPrinted>
  <dcterms:created xsi:type="dcterms:W3CDTF">2015-01-22T18:16:29Z</dcterms:created>
  <dcterms:modified xsi:type="dcterms:W3CDTF">2025-11-13T17:32:46Z</dcterms:modified>
</cp:coreProperties>
</file>