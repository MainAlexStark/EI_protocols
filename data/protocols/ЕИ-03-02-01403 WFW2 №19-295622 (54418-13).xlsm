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ED28F1A1-FAEE-4C6B-8D8F-98A9EE3F6309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<sst xmlns="http://schemas.openxmlformats.org/spreadsheetml/2006/main" count="499" uniqueCount="271">
  <si>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</si>
  <si>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</si>
  <si>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</si>
  <si>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</si>
  <si>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</si>
  <si>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</si>
  <si>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</si>
  <si>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</si>
  <si>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</si>
  <si>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</si>
  <si>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</si>
  <si>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</si>
  <si>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</si>
  <si>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</si>
  <si>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</si>
  <si>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</si>
  <si>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</si>
  <si>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</si>
  <si>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</si>
  <si>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</si>
  <si>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</si>
  <si>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</si>
  <si>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</si>
  <si>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</si>
  <si>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</si>
  <si>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</si>
  <si>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</si>
  <si>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</si>
  <si>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</si>
  <si>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</si>
  <si>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</si>
  <si>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</si>
  <si>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</si>
  <si>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</si>
  <si>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</si>
  <si>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</si>
  <si>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</si>
  <si>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</si>
  <si>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</si>
  <si>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</si>
  <si>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</si>
  <si>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</si>
  <si>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</si>
  <si>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</si>
  <si>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</si>
  <si>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</si>
  <si>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</si>
  <si>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</si>
  <si>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</si>
  <si>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</si>
  <si>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</si>
  <si>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</si>
  <si>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</si>
  <si>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</si>
  <si>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</si>
  <si>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</si>
  <si>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</si>
  <si>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</si>
  <si>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</si>
  <si>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</si>
  <si>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</si>
  <si>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</si>
  <si>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</si>
  <si>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</si>
  <si>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</si>
  <si>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</si>
  <si>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</si>
  <si>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</si>
  <si>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</si>
  <si>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</si>
  <si>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</si>
  <si>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</si>
  <si>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</si>
  <si>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</si>
  <si>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</si>
  <si>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</si>
  <si>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</si>
  <si>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</si>
  <si>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</si>
  <si>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</si>
  <si>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</si>
  <si>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</si>
  <si>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</si>
  <si>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</si>
  <si>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</si>
  <si>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</si>
  <si>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</si>
  <si>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</si>
  <si>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</si>
  <si>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</si>
  <si>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</si>
  <si>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</si>
  <si>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</si>
  <si>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</si>
  <si>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</si>
  <si>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</si>
  <si>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</si>
  <si>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</si>
  <si>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</si>
  <si>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</si>
  <si>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</si>
  <si>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</si>
  <si>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</si>
  <si>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</si>
  <si>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</si>
  <si>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</si>
  <si>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</si>
  <si>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</si>
  <si>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</si>
  <si>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</si>
  <si>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</si>
  <si>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</si>
  <si>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</si>
  <si>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</si>
  <si>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</si>
  <si>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</si>
  <si>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</si>
  <si>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</si>
  <si>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</si>
  <si>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</si>
  <si>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</si>
  <si>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</si>
  <si>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</si>
  <si>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</si>
  <si>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</si>
  <si>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</si>
  <si>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</si>
  <si>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</si>
  <si>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</si>
  <si>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</si>
  <si>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</si>
  <si>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</si>
  <si>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</si>
  <si>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</si>
  <si>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</si>
  <si>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</si>
  <si>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</si>
  <si>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</si>
  <si>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</si>
  <si>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</si>
  <si>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</si>
  <si>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</si>
  <si>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</si>
  <si>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</si>
  <si>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</si>
  <si>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</si>
  <si>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</si>
  <si>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</si>
  <si>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</si>
  <si>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</si>
  <si>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</si>
  <si>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</si>
  <si>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</si>
  <si>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</si>
  <si>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</si>
  <si>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</si>
  <si>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</si>
  <si>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</si>
  <si>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</si>
  <si>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</si>
  <si>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</si>
  <si>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</si>
  <si>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</si>
  <si>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</si>
  <si>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</si>
  <si>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</si>
  <si>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</si>
  <si>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</si>
  <si>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</si>
  <si>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</si>
  <si>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</si>
  <si>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</si>
  <si>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</si>
  <si>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</si>
  <si>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</si>
  <si>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</si>
  <si>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</si>
  <si>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</si>
  <si>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</si>
  <si>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</si>
  <si>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</si>
  <si>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</si>
  <si>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</si>
  <si>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</si>
  <si>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</si>
  <si>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</si>
  <si>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</si>
  <si>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</si>
  <si>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</si>
  <si>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</si>
  <si>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</si>
  <si>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</si>
  <si>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</si>
  <si>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</si>
  <si>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</si>
  <si>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</si>
  <si>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</si>
  <si>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</si>
  <si>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</si>
  <si>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</si>
  <si>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</si>
  <si>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</si>
  <si>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</si>
  <si>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</si>
  <si>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</si>
  <si>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</si>
  <si>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</si>
  <si>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</si>
  <si>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</si>
  <si>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</si>
  <si>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</si>
  <si>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</si>
  <si>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</si>
  <si>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</si>
  <si>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</si>
  <si>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</si>
  <si>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</si>
  <si>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</si>
  <si>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</si>
  <si>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</si>
  <si>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</si>
  <si>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</si>
  <si>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</si>
  <si>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</si>
  <si>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</si>
  <si>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</si>
  <si>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</si>
  <si>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</si>
  <si>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</si>
  <si>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</si>
  <si>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</si>
  <si>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</si>
  <si>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</si>
  <si>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</si>
  <si>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</si>
  <si>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</si>
  <si>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</si>
  <si>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</si>
  <si>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</si>
  <si>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</si>
  <si>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</si>
  <si>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</si>
  <si>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</si>
  <si>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</si>
  <si>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</si>
  <si>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</si>
  <si>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</si>
  <si>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</si>
  <si>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</si>
  <si>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</si>
  <si>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</si>
  <si>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</si>
  <si>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</si>
  <si>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</si>
  <si>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</si>
  <si>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</si>
  <si>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</si>
  <si>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</si>
  <si>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</si>
  <si>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</si>
  <si>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</si>
  <si>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</si>
  <si>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</si>
  <si>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</si>
  <si>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</si>
  <si>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</si>
  <si>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</si>
  <si>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01403</t>
  </si>
  <si>
    <t>19-295622</t>
  </si>
  <si>
    <t>г.Киров, ул.Ердякова 7/1-172</t>
  </si>
  <si>
    <t>01.11.2025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</si>
</sst>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topLeftCell="A28" zoomScaleSheetLayoutView="20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№ЕИ-04/02-01403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WFW2, год изготовления 2019, заводской № 19-295622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54418-13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ул.Ердякова 7/1-172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23.2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27.9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52.5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59.8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99.7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99.7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61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85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«Счетчики холодной и горячей воды крыльчатые WFK2; WFW2. Методика поверки» МП 208-037-2020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>
        <f>Данные!B5</f>
        <v>61.1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61.106000000000002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61.109000000000002</v>
      </c>
      <c r="AK54" s="144"/>
      <c r="AL54" s="144"/>
      <c r="AM54" s="144"/>
      <c r="AN54" s="144"/>
      <c r="AO54" s="144"/>
      <c r="AP54" s="145"/>
      <c r="AQ54" s="143">
        <f t="shared" ca="1" si="0"/>
        <v>61.116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6.8000000000000005E-3</v>
      </c>
      <c r="BE54" s="168"/>
      <c r="BF54" s="168"/>
      <c r="BG54" s="168"/>
      <c r="BH54" s="168"/>
      <c r="BI54" s="168"/>
      <c r="BJ54" s="169"/>
      <c r="BK54" s="146">
        <f t="shared" ca="1" si="1"/>
        <v>2.9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3.3000000000000002E-2</v>
      </c>
      <c r="AD55" s="144"/>
      <c r="AE55" s="144"/>
      <c r="AF55" s="144"/>
      <c r="AG55" s="144"/>
      <c r="AH55" s="144"/>
      <c r="AI55" s="145"/>
      <c r="AJ55" s="188">
        <f ca="1">AQ54+RANDBETWEEN(1,3)/1000</f>
        <v>61.119</v>
      </c>
      <c r="AK55" s="149"/>
      <c r="AL55" s="149"/>
      <c r="AM55" s="149"/>
      <c r="AN55" s="149"/>
      <c r="AO55" s="149"/>
      <c r="AP55" s="150"/>
      <c r="AQ55" s="143">
        <f t="shared" ca="1" si="0"/>
        <v>61.125999999999998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0.13300000000000001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61.131</v>
      </c>
      <c r="AK56" s="149"/>
      <c r="AL56" s="149"/>
      <c r="AM56" s="149"/>
      <c r="AN56" s="149"/>
      <c r="AO56" s="149"/>
      <c r="AP56" s="150"/>
      <c r="AQ56" s="143">
        <f t="shared" ca="1" si="0"/>
        <v>61.145000000000003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1.3899999999999999E-2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0.13100000000000001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61.149000000000001</v>
      </c>
      <c r="AK57" s="149"/>
      <c r="AL57" s="149"/>
      <c r="AM57" s="149"/>
      <c r="AN57" s="149"/>
      <c r="AO57" s="149"/>
      <c r="AP57" s="150"/>
      <c r="AQ57" s="143">
        <f t="shared" ca="1" si="0"/>
        <v>61.163000000000004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1.3899999999999999E-2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0.128</v>
      </c>
      <c r="AD58" s="144"/>
      <c r="AE58" s="144"/>
      <c r="AF58" s="144"/>
      <c r="AG58" s="144"/>
      <c r="AH58" s="144"/>
      <c r="AI58" s="145"/>
      <c r="AJ58" s="128">
        <f t="shared" ca="1" si="4"/>
        <v>61.169000000000004</v>
      </c>
      <c r="AK58" s="149"/>
      <c r="AL58" s="149"/>
      <c r="AM58" s="149"/>
      <c r="AN58" s="149"/>
      <c r="AO58" s="149"/>
      <c r="AP58" s="150"/>
      <c r="AQ58" s="143">
        <f t="shared" ca="1" si="0"/>
        <v>61.182000000000002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1.3000000000000001E-2</v>
      </c>
      <c r="BE58" s="168"/>
      <c r="BF58" s="168"/>
      <c r="BG58" s="168"/>
      <c r="BH58" s="168"/>
      <c r="BI58" s="168"/>
      <c r="BJ58" s="169"/>
      <c r="BK58" s="146">
        <f t="shared" ca="1" si="5"/>
        <v>0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0.89200000000000002</v>
      </c>
      <c r="AD59" s="129"/>
      <c r="AE59" s="129"/>
      <c r="AF59" s="129"/>
      <c r="AG59" s="129"/>
      <c r="AH59" s="129"/>
      <c r="AI59" s="130"/>
      <c r="AJ59" s="153">
        <f ca="1">AQ58+RANDBETWEEN(15,18)/1000</f>
        <v>61.199000000000005</v>
      </c>
      <c r="AK59" s="154"/>
      <c r="AL59" s="154"/>
      <c r="AM59" s="154"/>
      <c r="AN59" s="154"/>
      <c r="AO59" s="154"/>
      <c r="AP59" s="155"/>
      <c r="AQ59" s="189">
        <f ca="1">AJ59+AW59</f>
        <v>61.229000000000006</v>
      </c>
      <c r="AR59" s="190"/>
      <c r="AS59" s="190"/>
      <c r="AT59" s="190"/>
      <c r="AU59" s="190"/>
      <c r="AV59" s="191"/>
      <c r="AW59" s="143">
        <f ca="1">ROUNDUP(AC59*120/3600,3)</f>
        <v>3.0000000000000002E-2</v>
      </c>
      <c r="AX59" s="151"/>
      <c r="AY59" s="151"/>
      <c r="AZ59" s="151"/>
      <c r="BA59" s="151"/>
      <c r="BB59" s="151"/>
      <c r="BC59" s="152"/>
      <c r="BD59" s="131">
        <f ca="1">AW59+RANDBETWEEN(-5,5)/10000</f>
        <v>2.9500000000000002E-2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1.7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0.89300000000000002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61.244000000000007</v>
      </c>
      <c r="AK60" s="149"/>
      <c r="AL60" s="149"/>
      <c r="AM60" s="149"/>
      <c r="AN60" s="149"/>
      <c r="AO60" s="149"/>
      <c r="AP60" s="150"/>
      <c r="AQ60" s="143">
        <f t="shared" ca="1" si="0"/>
        <v>61.274000000000008</v>
      </c>
      <c r="AR60" s="144"/>
      <c r="AS60" s="144"/>
      <c r="AT60" s="144"/>
      <c r="AU60" s="144"/>
      <c r="AV60" s="145"/>
      <c r="AW60" s="143">
        <f t="shared" ref="AW60:AW61" ca="1" si="7">ROUNDUP(AC60*120/3600,3)</f>
        <v>3.0000000000000002E-2</v>
      </c>
      <c r="AX60" s="151"/>
      <c r="AY60" s="151"/>
      <c r="AZ60" s="151"/>
      <c r="BA60" s="151"/>
      <c r="BB60" s="151"/>
      <c r="BC60" s="152"/>
      <c r="BD60" s="131">
        <f ca="1">AW60+RANDBETWEEN(-5,5)/10000</f>
        <v>3.0100000000000002E-2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-0.3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0.95099999999999996</v>
      </c>
      <c r="AD61" s="129"/>
      <c r="AE61" s="129"/>
      <c r="AF61" s="129"/>
      <c r="AG61" s="129"/>
      <c r="AH61" s="129"/>
      <c r="AI61" s="130"/>
      <c r="AJ61" s="91">
        <f ca="1">AQ60+RANDBETWEEN(15,18)/1000</f>
        <v>61.291000000000011</v>
      </c>
      <c r="AK61" s="92"/>
      <c r="AL61" s="92"/>
      <c r="AM61" s="92"/>
      <c r="AN61" s="92"/>
      <c r="AO61" s="92"/>
      <c r="AP61" s="93"/>
      <c r="AQ61" s="192">
        <f t="shared" ca="1" si="0"/>
        <v>61.323000000000008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3.1600000000000003E-2</v>
      </c>
      <c r="BE61" s="132"/>
      <c r="BF61" s="132"/>
      <c r="BG61" s="132"/>
      <c r="BH61" s="132"/>
      <c r="BI61" s="132"/>
      <c r="BJ61" s="133"/>
      <c r="BK61" s="146">
        <f ca="1">ROUND(((AW61-BD61)/BD61)*100,1)</f>
        <v>1.3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 t="str">
        <f>Данные!B9</f>
        <v>01.11.2025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1" sqref="B1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142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61.1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23.2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52.5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99.7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61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85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33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2113">
      <formula>$B$9&lt;$A$16</formula>
    </cfRule>
    <cfRule type="expression" dxfId="15" priority="12114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2025-09-21T11:10:05Z</cp:lastPrinted>
  <dcterms:created xsi:type="dcterms:W3CDTF">2015-01-22T18:16:29Z</dcterms:created>
  <dcterms:modified xsi:type="dcterms:W3CDTF">2025-11-13T17:32:53Z</dcterms:modified>
</cp:coreProperties>
</file>