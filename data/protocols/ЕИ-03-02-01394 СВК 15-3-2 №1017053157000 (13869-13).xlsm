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F8D74FE9-E6D3-4A15-AE68-BB1852D798C5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<sst xmlns="http://schemas.openxmlformats.org/spreadsheetml/2006/main" count="499" uniqueCount="271">
  <si>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</si>
  <si>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</si>
  <si>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</si>
  <si>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</si>
  <si>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</si>
  <si>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</si>
  <si>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</si>
  <si>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</si>
  <si>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</si>
  <si>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</si>
  <si>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</si>
  <si>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</si>
  <si>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</si>
  <si>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</si>
  <si>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</si>
  <si>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</si>
  <si>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</si>
  <si>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</si>
  <si>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</si>
  <si>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</si>
  <si>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</si>
  <si>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</si>
  <si>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</si>
  <si>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</si>
  <si>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</si>
  <si>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</si>
  <si>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</si>
  <si>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</si>
  <si>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</si>
  <si>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</si>
  <si>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</si>
  <si>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</si>
  <si>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</si>
  <si>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</si>
  <si>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</si>
  <si>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</si>
  <si>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</si>
  <si>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</si>
  <si>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</si>
  <si>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</si>
  <si>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</si>
  <si>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</si>
  <si>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</si>
  <si>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</si>
  <si>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</si>
  <si>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</si>
  <si>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</si>
  <si>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</si>
  <si>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</si>
  <si>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</si>
  <si>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</si>
  <si>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</si>
  <si>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</si>
  <si>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</si>
  <si>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</si>
  <si>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</si>
  <si>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</si>
  <si>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</si>
  <si>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</si>
  <si>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</si>
  <si>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</si>
  <si>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</si>
  <si>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</si>
  <si>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</si>
  <si>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</si>
  <si>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</si>
  <si>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</si>
  <si>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</si>
  <si>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</si>
  <si>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</si>
  <si>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</si>
  <si>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</si>
  <si>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</si>
  <si>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</si>
  <si>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</si>
  <si>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</si>
  <si>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</si>
  <si>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</si>
  <si>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</si>
  <si>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</si>
  <si>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</si>
  <si>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</si>
  <si>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</si>
  <si>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</si>
  <si>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</si>
  <si>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</si>
  <si>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</si>
  <si>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</si>
  <si>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</si>
  <si>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</si>
  <si>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</si>
  <si>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</si>
  <si>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</si>
  <si>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</si>
  <si>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</si>
  <si>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</si>
  <si>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</si>
  <si>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</si>
  <si>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</si>
  <si>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</si>
  <si>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</si>
  <si>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</si>
  <si>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</si>
  <si>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</si>
  <si>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</si>
  <si>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</si>
  <si>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</si>
  <si>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</si>
  <si>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</si>
  <si>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</si>
  <si>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</si>
  <si>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</si>
  <si>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</si>
  <si>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</si>
  <si>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</si>
  <si>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</si>
  <si>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</si>
  <si>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</si>
  <si>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</si>
  <si>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</si>
  <si>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</si>
  <si>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</si>
  <si>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</si>
  <si>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</si>
  <si>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</si>
  <si>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</si>
  <si>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</si>
  <si>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</si>
  <si>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</si>
  <si>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</si>
  <si>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</si>
  <si>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</si>
  <si>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</si>
  <si>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</si>
  <si>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</si>
  <si>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</si>
  <si>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</si>
  <si>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</si>
  <si>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</si>
  <si>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</si>
  <si>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</si>
  <si>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</si>
  <si>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</si>
  <si>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</si>
  <si>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</si>
  <si>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</si>
  <si>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</si>
  <si>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</si>
  <si>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</si>
  <si>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</si>
  <si>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</si>
  <si>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</si>
  <si>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</si>
  <si>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</si>
  <si>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</si>
  <si>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</si>
  <si>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</si>
  <si>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</si>
  <si>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</si>
  <si>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</si>
  <si>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</si>
  <si>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</si>
  <si>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</si>
  <si>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</si>
  <si>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</si>
  <si>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</si>
  <si>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</si>
  <si>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</si>
  <si>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</si>
  <si>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</si>
  <si>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</si>
  <si>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</si>
  <si>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</si>
  <si>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</si>
  <si>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</si>
  <si>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</si>
  <si>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</si>
  <si>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</si>
  <si>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</si>
  <si>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</si>
  <si>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</si>
  <si>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</si>
  <si>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</si>
  <si>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</si>
  <si>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</si>
  <si>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</si>
  <si>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</si>
  <si>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</si>
  <si>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</si>
  <si>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</si>
  <si>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</si>
  <si>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</si>
  <si>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</si>
  <si>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</si>
  <si>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</si>
  <si>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</si>
  <si>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</si>
  <si>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</si>
  <si>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</si>
  <si>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</si>
  <si>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</si>
  <si>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</si>
  <si>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</si>
  <si>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</si>
  <si>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</si>
  <si>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</si>
  <si>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</si>
  <si>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</si>
  <si>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</si>
  <si>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</si>
  <si>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</si>
  <si>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</si>
  <si>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</si>
  <si>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</si>
  <si>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</si>
  <si>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</si>
  <si>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</si>
  <si>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</si>
  <si>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</si>
  <si>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</si>
  <si>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</si>
  <si>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</si>
  <si>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</si>
  <si>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</si>
  <si>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</si>
  <si>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</si>
  <si>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</si>
  <si>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</si>
  <si>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</si>
  <si>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</si>
  <si>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</si>
  <si>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</si>
  <si>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</si>
  <si>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</si>
  <si>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</si>
  <si>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</si>
  <si>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</si>
  <si>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</si>
  <si>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</si>
  <si>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</si>
  <si>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</si>
  <si>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</si>
  <si>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</si>
  <si>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</si>
  <si>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</si>
  <si>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</si>
  <si>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</si>
  <si>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</si>
  <si>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</si>
  <si>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</si>
  <si>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</si>
  <si>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</si>
  <si>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</si>
  <si>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</si>
  <si>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</si>
  <si>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</si>
  <si>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</si>
  <si>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</si>
  <si>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</si>
  <si>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</si>
  <si>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</si>
  <si>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</si>
  <si>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</si>
  <si>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</si>
  <si>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</si>
  <si>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</si>
  <si>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</si>
  <si>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01394</t>
  </si>
  <si>
    <t>1017053157000</t>
  </si>
  <si>
    <t>г.Яранск, ул.Кирпичная 4-13</t>
  </si>
  <si>
    <t>30.10.2025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</si>
</sst>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№ЕИ-04/02-01394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 15-3-2, год изготовления 2017, заводской № 1017053157000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г.Яранск, ул.Кирпичная 4-13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23.3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26.3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51.1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56.9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101.2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101.2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10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15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>
        <f>Данные!B5</f>
        <v>56.6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56.606000000000002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6.3E-3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-4.8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0.03</v>
      </c>
      <c r="AD54" s="124"/>
      <c r="AE54" s="124"/>
      <c r="AF54" s="124"/>
      <c r="AG54" s="124"/>
      <c r="AH54" s="124"/>
      <c r="AI54" s="125"/>
      <c r="AJ54" s="123">
        <f ca="1">AQ53+RANDBETWEEN(1,3)/1000</f>
        <v>56.609000000000002</v>
      </c>
      <c r="AK54" s="124"/>
      <c r="AL54" s="124"/>
      <c r="AM54" s="124"/>
      <c r="AN54" s="124"/>
      <c r="AO54" s="124"/>
      <c r="AP54" s="125"/>
      <c r="AQ54" s="123">
        <f t="shared" ca="1" si="0"/>
        <v>56.615000000000002</v>
      </c>
      <c r="AR54" s="124"/>
      <c r="AS54" s="124"/>
      <c r="AT54" s="124"/>
      <c r="AU54" s="124"/>
      <c r="AV54" s="125"/>
      <c r="AW54" s="123">
        <f ca="1">ROUNDUP(AC54*720/3600,3)</f>
        <v>6.0000000000000001E-3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5.8000000000000005E-3</v>
      </c>
      <c r="BE54" s="136"/>
      <c r="BF54" s="136"/>
      <c r="BG54" s="136"/>
      <c r="BH54" s="136"/>
      <c r="BI54" s="136"/>
      <c r="BJ54" s="137"/>
      <c r="BK54" s="132">
        <f t="shared" ca="1" si="1"/>
        <v>3.4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3.3000000000000002E-2</v>
      </c>
      <c r="AD55" s="124"/>
      <c r="AE55" s="124"/>
      <c r="AF55" s="124"/>
      <c r="AG55" s="124"/>
      <c r="AH55" s="124"/>
      <c r="AI55" s="125"/>
      <c r="AJ55" s="122">
        <f ca="1">AQ54+RANDBETWEEN(1,3)/1000</f>
        <v>56.618000000000002</v>
      </c>
      <c r="AK55" s="120"/>
      <c r="AL55" s="120"/>
      <c r="AM55" s="120"/>
      <c r="AN55" s="120"/>
      <c r="AO55" s="120"/>
      <c r="AP55" s="121"/>
      <c r="AQ55" s="123">
        <f t="shared" ca="1" si="0"/>
        <v>56.625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7.3000000000000001E-3</v>
      </c>
      <c r="BE55" s="136"/>
      <c r="BF55" s="136"/>
      <c r="BG55" s="136"/>
      <c r="BH55" s="136"/>
      <c r="BI55" s="136"/>
      <c r="BJ55" s="137"/>
      <c r="BK55" s="132">
        <f t="shared" ca="1" si="1"/>
        <v>-4.0999999999999996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0.13200000000000001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56.63</v>
      </c>
      <c r="AK56" s="120"/>
      <c r="AL56" s="120"/>
      <c r="AM56" s="120"/>
      <c r="AN56" s="120"/>
      <c r="AO56" s="120"/>
      <c r="AP56" s="121"/>
      <c r="AQ56" s="123">
        <f t="shared" ca="1" si="0"/>
        <v>56.644000000000005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1.4199999999999999E-2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-1.4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0.128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56.651000000000003</v>
      </c>
      <c r="AK57" s="120"/>
      <c r="AL57" s="120"/>
      <c r="AM57" s="120"/>
      <c r="AN57" s="120"/>
      <c r="AO57" s="120"/>
      <c r="AP57" s="121"/>
      <c r="AQ57" s="123">
        <f t="shared" ca="1" si="0"/>
        <v>56.664000000000001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1.3200000000000002E-2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-1.5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0.13200000000000001</v>
      </c>
      <c r="AD58" s="124"/>
      <c r="AE58" s="124"/>
      <c r="AF58" s="124"/>
      <c r="AG58" s="124"/>
      <c r="AH58" s="124"/>
      <c r="AI58" s="125"/>
      <c r="AJ58" s="119">
        <f t="shared" ca="1" si="4"/>
        <v>56.669000000000004</v>
      </c>
      <c r="AK58" s="120"/>
      <c r="AL58" s="120"/>
      <c r="AM58" s="120"/>
      <c r="AN58" s="120"/>
      <c r="AO58" s="120"/>
      <c r="AP58" s="121"/>
      <c r="AQ58" s="123">
        <f t="shared" ca="1" si="0"/>
        <v>56.683000000000007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1.3799999999999998E-2</v>
      </c>
      <c r="BE58" s="136"/>
      <c r="BF58" s="136"/>
      <c r="BG58" s="136"/>
      <c r="BH58" s="136"/>
      <c r="BI58" s="136"/>
      <c r="BJ58" s="137"/>
      <c r="BK58" s="132">
        <f t="shared" ca="1" si="5"/>
        <v>1.4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0.89</v>
      </c>
      <c r="AD59" s="158"/>
      <c r="AE59" s="158"/>
      <c r="AF59" s="158"/>
      <c r="AG59" s="158"/>
      <c r="AH59" s="158"/>
      <c r="AI59" s="159"/>
      <c r="AJ59" s="174">
        <f ca="1">AQ58+RANDBETWEEN(15,18)/1000</f>
        <v>56.699000000000005</v>
      </c>
      <c r="AK59" s="175"/>
      <c r="AL59" s="175"/>
      <c r="AM59" s="175"/>
      <c r="AN59" s="175"/>
      <c r="AO59" s="175"/>
      <c r="AP59" s="176"/>
      <c r="AQ59" s="126">
        <f ca="1">AJ59+AW59</f>
        <v>56.729000000000006</v>
      </c>
      <c r="AR59" s="127"/>
      <c r="AS59" s="127"/>
      <c r="AT59" s="127"/>
      <c r="AU59" s="127"/>
      <c r="AV59" s="128"/>
      <c r="AW59" s="123">
        <f ca="1">ROUNDUP(AC59*120/3600,3)</f>
        <v>3.0000000000000002E-2</v>
      </c>
      <c r="AX59" s="130"/>
      <c r="AY59" s="130"/>
      <c r="AZ59" s="130"/>
      <c r="BA59" s="130"/>
      <c r="BB59" s="130"/>
      <c r="BC59" s="131"/>
      <c r="BD59" s="135">
        <f ca="1">AW59+RANDBETWEEN(-5,5)/10000</f>
        <v>3.0200000000000001E-2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-0.7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0.95199999999999996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56.744000000000007</v>
      </c>
      <c r="AK60" s="120"/>
      <c r="AL60" s="120"/>
      <c r="AM60" s="120"/>
      <c r="AN60" s="120"/>
      <c r="AO60" s="120"/>
      <c r="AP60" s="121"/>
      <c r="AQ60" s="123">
        <f t="shared" ca="1" si="0"/>
        <v>56.776000000000003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3.1600000000000003E-2</v>
      </c>
      <c r="BE60" s="160"/>
      <c r="BF60" s="160"/>
      <c r="BG60" s="160"/>
      <c r="BH60" s="160"/>
      <c r="BI60" s="160"/>
      <c r="BJ60" s="161"/>
      <c r="BK60" s="132">
        <f ca="1">ROUND(((AW60-BD60)/BD60)*100,1)</f>
        <v>1.3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0.89700000000000002</v>
      </c>
      <c r="AD61" s="158"/>
      <c r="AE61" s="158"/>
      <c r="AF61" s="158"/>
      <c r="AG61" s="158"/>
      <c r="AH61" s="158"/>
      <c r="AI61" s="159"/>
      <c r="AJ61" s="171">
        <f ca="1">AQ60+RANDBETWEEN(15,18)/1000</f>
        <v>56.793000000000006</v>
      </c>
      <c r="AK61" s="172"/>
      <c r="AL61" s="172"/>
      <c r="AM61" s="172"/>
      <c r="AN61" s="172"/>
      <c r="AO61" s="172"/>
      <c r="AP61" s="173"/>
      <c r="AQ61" s="129">
        <f t="shared" ca="1" si="0"/>
        <v>56.823000000000008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2.9700000000000001E-2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30.10.2025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56.6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270</v>
      </c>
      <c r="C9" s="13"/>
      <c r="D9" s="13"/>
      <c r="E9" s="13"/>
    </row>
    <row r="10" spans="1:21" ht="18" x14ac:dyDescent="0.35">
      <c r="A10" s="11" t="s">
        <v>15</v>
      </c>
      <c r="B10" s="76">
        <v>23.3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51.1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10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15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2025-09-30T16:14:58Z</cp:lastPrinted>
  <dcterms:created xsi:type="dcterms:W3CDTF">2015-01-22T18:16:29Z</dcterms:created>
  <dcterms:modified xsi:type="dcterms:W3CDTF">2025-11-13T17:32:34Z</dcterms:modified>
</cp:coreProperties>
</file>