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F190A7E8-D340-4598-BE48-34ED8EE67333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<sst xmlns="http://schemas.openxmlformats.org/spreadsheetml/2006/main" count="499" uniqueCount="271">
  <si>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</si>
  <si>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</si>
  <si>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</si>
  <si>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</si>
  <si>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</si>
  <si>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</si>
  <si>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</si>
  <si>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</si>
  <si>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</si>
  <si>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</si>
  <si>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</si>
  <si>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</si>
  <si>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</si>
  <si>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</si>
  <si>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</si>
  <si>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</si>
  <si>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</si>
  <si>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</si>
  <si>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</si>
  <si>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</si>
  <si>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</si>
  <si>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</si>
  <si>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</si>
  <si>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</si>
  <si>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</si>
  <si>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</si>
  <si>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</si>
  <si>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</si>
  <si>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</si>
  <si>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</si>
  <si>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</si>
  <si>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</si>
  <si>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</si>
  <si>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</si>
  <si>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</si>
  <si>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</si>
  <si>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</si>
  <si>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</si>
  <si>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</si>
  <si>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</si>
  <si>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</si>
  <si>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</si>
  <si>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</si>
  <si>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</si>
  <si>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</si>
  <si>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</si>
  <si>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</si>
  <si>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</si>
  <si>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</si>
  <si>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</si>
  <si>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</si>
  <si>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</si>
  <si>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</si>
  <si>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</si>
  <si>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</si>
  <si>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</si>
  <si>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</si>
  <si>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</si>
  <si>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</si>
  <si>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</si>
  <si>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</si>
  <si>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</si>
  <si>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</si>
  <si>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</si>
  <si>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</si>
  <si>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</si>
  <si>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</si>
  <si>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</si>
  <si>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</si>
  <si>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</si>
  <si>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</si>
  <si>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</si>
  <si>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</si>
  <si>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</si>
  <si>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</si>
  <si>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</si>
  <si>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</si>
  <si>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</si>
  <si>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</si>
  <si>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</si>
  <si>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</si>
  <si>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</si>
  <si>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</si>
  <si>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</si>
  <si>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</si>
  <si>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</si>
  <si>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</si>
  <si>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</si>
  <si>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</si>
  <si>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</si>
  <si>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</si>
  <si>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</si>
  <si>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</si>
  <si>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</si>
  <si>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</si>
  <si>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</si>
  <si>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</si>
  <si>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</si>
  <si>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</si>
  <si>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</si>
  <si>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</si>
  <si>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</si>
  <si>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</si>
  <si>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</si>
  <si>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</si>
  <si>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</si>
  <si>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</si>
  <si>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</si>
  <si>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</si>
  <si>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</si>
  <si>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</si>
  <si>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</si>
  <si>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</si>
  <si>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</si>
  <si>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</si>
  <si>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</si>
  <si>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</si>
  <si>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</si>
  <si>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</si>
  <si>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</si>
  <si>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</si>
  <si>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</si>
  <si>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</si>
  <si>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</si>
  <si>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</si>
  <si>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</si>
  <si>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</si>
  <si>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</si>
  <si>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</si>
  <si>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</si>
  <si>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</si>
  <si>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</si>
  <si>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</si>
  <si>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</si>
  <si>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</si>
  <si>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</si>
  <si>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</si>
  <si>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</si>
  <si>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</si>
  <si>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</si>
  <si>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</si>
  <si>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</si>
  <si>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</si>
  <si>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</si>
  <si>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</si>
  <si>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</si>
  <si>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</si>
  <si>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</si>
  <si>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</si>
  <si>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</si>
  <si>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</si>
  <si>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</si>
  <si>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</si>
  <si>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</si>
  <si>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</si>
  <si>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</si>
  <si>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</si>
  <si>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</si>
  <si>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</si>
  <si>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</si>
  <si>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</si>
  <si>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</si>
  <si>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</si>
  <si>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</si>
  <si>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</si>
  <si>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</si>
  <si>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</si>
  <si>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</si>
  <si>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</si>
  <si>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</si>
  <si>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</si>
  <si>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</si>
  <si>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</si>
  <si>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</si>
  <si>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</si>
  <si>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</si>
  <si>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</si>
  <si>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</si>
  <si>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</si>
  <si>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</si>
  <si>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</si>
  <si>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</si>
  <si>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</si>
  <si>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</si>
  <si>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</si>
  <si>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</si>
  <si>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</si>
  <si>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</si>
  <si>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</si>
  <si>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</si>
  <si>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</si>
  <si>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</si>
  <si>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</si>
  <si>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</si>
  <si>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</si>
  <si>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</si>
  <si>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</si>
  <si>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</si>
  <si>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</si>
  <si>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</si>
  <si>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</si>
  <si>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</si>
  <si>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</si>
  <si>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</si>
  <si>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</si>
  <si>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</si>
  <si>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</si>
  <si>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</si>
  <si>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</si>
  <si>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</si>
  <si>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</si>
  <si>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</si>
  <si>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</si>
  <si>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</si>
  <si>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</si>
  <si>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</si>
  <si>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</si>
  <si>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</si>
  <si>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</si>
  <si>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</si>
  <si>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</si>
  <si>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</si>
  <si>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</si>
  <si>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</si>
  <si>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</si>
  <si>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</si>
  <si>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</si>
  <si>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</si>
  <si>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</si>
  <si>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</si>
  <si>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</si>
  <si>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</si>
  <si>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</si>
  <si>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</si>
  <si>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</si>
  <si>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</si>
  <si>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</si>
  <si>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</si>
  <si>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</si>
  <si>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</si>
  <si>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</si>
  <si>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</si>
  <si>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</si>
  <si>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</si>
  <si>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</si>
  <si>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</si>
  <si>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</si>
  <si>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</si>
  <si>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</si>
  <si>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</si>
  <si>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</si>
  <si>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</si>
  <si>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</si>
  <si>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</si>
  <si>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</si>
  <si>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</si>
  <si>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</si>
  <si>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</si>
  <si>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</si>
  <si>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</si>
  <si>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</si>
  <si>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</si>
  <si>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</si>
  <si>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</si>
  <si>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</si>
  <si>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</si>
  <si>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</si>
  <si>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01381</t>
  </si>
  <si>
    <t>19-317230</t>
  </si>
  <si>
    <t>г.Киров, ул.Макаренко 10-144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</si>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</sst>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28" zoomScaleSheetLayoutView="20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№ЕИ-04/02-01381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WFW2, год изготовления 2019, заводской № 19-317230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54418-13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ул.Макаренко 10-144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21.6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20.700000000000003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54.7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60.800000000000004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99.7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99.7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69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84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«Счетчики холодной и горячей воды крыльчатые WFK2; WFW2. Методика поверки» МП 208-037-2020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3.1E-2</v>
      </c>
      <c r="AD53" s="144"/>
      <c r="AE53" s="144"/>
      <c r="AF53" s="144"/>
      <c r="AG53" s="144"/>
      <c r="AH53" s="144"/>
      <c r="AI53" s="145"/>
      <c r="AJ53" s="188">
        <f>Данные!B5</f>
        <v>261.10000000000002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261.10700000000003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3.3000000000000002E-2</v>
      </c>
      <c r="AD54" s="144"/>
      <c r="AE54" s="144"/>
      <c r="AF54" s="144"/>
      <c r="AG54" s="144"/>
      <c r="AH54" s="144"/>
      <c r="AI54" s="145"/>
      <c r="AJ54" s="143">
        <f ca="1">AQ53+RANDBETWEEN(1,3)/1000</f>
        <v>261.11</v>
      </c>
      <c r="AK54" s="144"/>
      <c r="AL54" s="144"/>
      <c r="AM54" s="144"/>
      <c r="AN54" s="144"/>
      <c r="AO54" s="144"/>
      <c r="AP54" s="145"/>
      <c r="AQ54" s="143">
        <f t="shared" ca="1" si="0"/>
        <v>261.11700000000002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7.1999999999999998E-3</v>
      </c>
      <c r="BE54" s="168"/>
      <c r="BF54" s="168"/>
      <c r="BG54" s="168"/>
      <c r="BH54" s="168"/>
      <c r="BI54" s="168"/>
      <c r="BJ54" s="169"/>
      <c r="BK54" s="146">
        <f t="shared" ca="1" si="1"/>
        <v>-2.8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261.12</v>
      </c>
      <c r="AK55" s="149"/>
      <c r="AL55" s="149"/>
      <c r="AM55" s="149"/>
      <c r="AN55" s="149"/>
      <c r="AO55" s="149"/>
      <c r="AP55" s="150"/>
      <c r="AQ55" s="143">
        <f t="shared" ca="1" si="0"/>
        <v>261.12700000000001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0.13200000000000001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261.13400000000001</v>
      </c>
      <c r="AK56" s="149"/>
      <c r="AL56" s="149"/>
      <c r="AM56" s="149"/>
      <c r="AN56" s="149"/>
      <c r="AO56" s="149"/>
      <c r="AP56" s="150"/>
      <c r="AQ56" s="143">
        <f t="shared" ca="1" si="0"/>
        <v>261.14800000000002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1.3999999999999999E-2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0.13200000000000001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261.15200000000004</v>
      </c>
      <c r="AK57" s="149"/>
      <c r="AL57" s="149"/>
      <c r="AM57" s="149"/>
      <c r="AN57" s="149"/>
      <c r="AO57" s="149"/>
      <c r="AP57" s="150"/>
      <c r="AQ57" s="143">
        <f t="shared" ca="1" si="0"/>
        <v>261.16600000000005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1.3999999999999999E-2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0.13400000000000001</v>
      </c>
      <c r="AD58" s="144"/>
      <c r="AE58" s="144"/>
      <c r="AF58" s="144"/>
      <c r="AG58" s="144"/>
      <c r="AH58" s="144"/>
      <c r="AI58" s="145"/>
      <c r="AJ58" s="128">
        <f t="shared" ca="1" si="4"/>
        <v>261.17300000000006</v>
      </c>
      <c r="AK58" s="149"/>
      <c r="AL58" s="149"/>
      <c r="AM58" s="149"/>
      <c r="AN58" s="149"/>
      <c r="AO58" s="149"/>
      <c r="AP58" s="150"/>
      <c r="AQ58" s="143">
        <f t="shared" ca="1" si="0"/>
        <v>261.18700000000007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1.3899999999999999E-2</v>
      </c>
      <c r="BE58" s="168"/>
      <c r="BF58" s="168"/>
      <c r="BG58" s="168"/>
      <c r="BH58" s="168"/>
      <c r="BI58" s="168"/>
      <c r="BJ58" s="169"/>
      <c r="BK58" s="146">
        <f t="shared" ca="1" si="5"/>
        <v>0.7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0.91500000000000004</v>
      </c>
      <c r="AD59" s="129"/>
      <c r="AE59" s="129"/>
      <c r="AF59" s="129"/>
      <c r="AG59" s="129"/>
      <c r="AH59" s="129"/>
      <c r="AI59" s="130"/>
      <c r="AJ59" s="153">
        <f ca="1">AQ58+RANDBETWEEN(15,18)/1000</f>
        <v>261.20200000000006</v>
      </c>
      <c r="AK59" s="154"/>
      <c r="AL59" s="154"/>
      <c r="AM59" s="154"/>
      <c r="AN59" s="154"/>
      <c r="AO59" s="154"/>
      <c r="AP59" s="155"/>
      <c r="AQ59" s="189">
        <f ca="1">AJ59+AW59</f>
        <v>261.23300000000006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3.0800000000000001E-2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0.90700000000000003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261.24900000000008</v>
      </c>
      <c r="AK60" s="149"/>
      <c r="AL60" s="149"/>
      <c r="AM60" s="149"/>
      <c r="AN60" s="149"/>
      <c r="AO60" s="149"/>
      <c r="AP60" s="150"/>
      <c r="AQ60" s="143">
        <f t="shared" ca="1" si="0"/>
        <v>261.28000000000009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3.0800000000000001E-2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0.89</v>
      </c>
      <c r="AD61" s="129"/>
      <c r="AE61" s="129"/>
      <c r="AF61" s="129"/>
      <c r="AG61" s="129"/>
      <c r="AH61" s="129"/>
      <c r="AI61" s="130"/>
      <c r="AJ61" s="91">
        <f ca="1">AQ60+RANDBETWEEN(15,18)/1000</f>
        <v>261.29800000000006</v>
      </c>
      <c r="AK61" s="92"/>
      <c r="AL61" s="92"/>
      <c r="AM61" s="92"/>
      <c r="AN61" s="92"/>
      <c r="AO61" s="92"/>
      <c r="AP61" s="93"/>
      <c r="AQ61" s="192">
        <f t="shared" ca="1" si="0"/>
        <v>261.32800000000003</v>
      </c>
      <c r="AR61" s="151"/>
      <c r="AS61" s="151"/>
      <c r="AT61" s="151"/>
      <c r="AU61" s="151"/>
      <c r="AV61" s="152"/>
      <c r="AW61" s="143">
        <f t="shared" ca="1" si="7"/>
        <v>3.0000000000000002E-2</v>
      </c>
      <c r="AX61" s="151"/>
      <c r="AY61" s="151"/>
      <c r="AZ61" s="151"/>
      <c r="BA61" s="151"/>
      <c r="BB61" s="151"/>
      <c r="BC61" s="152"/>
      <c r="BD61" s="131">
        <f ca="1">AW61+RANDBETWEEN(-5,5)/10000</f>
        <v>3.0200000000000001E-2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-0.7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 t="str">
        <f>Данные!B9</f>
        <v>29.10.2025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142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261.10000000000002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69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84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33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2025-09-21T11:10:05Z</cp:lastPrinted>
  <dcterms:created xsi:type="dcterms:W3CDTF">2015-01-22T18:16:29Z</dcterms:created>
  <dcterms:modified xsi:type="dcterms:W3CDTF">2025-11-13T17:32:05Z</dcterms:modified>
</cp:coreProperties>
</file>