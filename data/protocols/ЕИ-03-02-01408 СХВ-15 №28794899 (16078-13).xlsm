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19919302-A485-4B10-A9DC-7E5973EB9F61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<sst xmlns="http://schemas.openxmlformats.org/spreadsheetml/2006/main" count="408" uniqueCount="238">
  <si>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</si>
  <si>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</si>
  <si>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</si>
  <si>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</si>
  <si>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</si>
  <si>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</si>
  <si>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</si>
  <si>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</si>
  <si>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</si>
  <si>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</si>
  <si>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</si>
  <si>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</si>
  <si>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</si>
  <si>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</si>
  <si>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</si>
  <si>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</si>
  <si>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</si>
  <si>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</si>
  <si>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</si>
  <si>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</si>
  <si>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</si>
  <si>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</si>
  <si>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</si>
  <si>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</si>
  <si>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</si>
  <si>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</si>
  <si>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</si>
  <si>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</si>
  <si>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</si>
  <si>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</si>
  <si>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</si>
  <si>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</si>
  <si>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</si>
  <si>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</si>
  <si>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</si>
  <si>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</si>
  <si>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</si>
  <si>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</si>
  <si>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</si>
  <si>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</si>
  <si>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</si>
  <si>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</si>
  <si>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</si>
  <si>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</si>
  <si>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</si>
  <si>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</si>
  <si>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</si>
  <si>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</si>
  <si>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</si>
  <si>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</si>
  <si>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</si>
  <si>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</si>
  <si>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</si>
  <si>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</si>
  <si>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</si>
  <si>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</si>
  <si>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</si>
  <si>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</si>
  <si>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</si>
  <si>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</si>
  <si>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</si>
  <si>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</si>
  <si>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</si>
  <si>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</si>
  <si>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</si>
  <si>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</si>
  <si>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</si>
  <si>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</si>
  <si>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</si>
  <si>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</si>
  <si>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</si>
  <si>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</si>
  <si>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</si>
  <si>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</si>
  <si>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</si>
  <si>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</si>
  <si>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</si>
  <si>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</si>
  <si>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</si>
  <si>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</si>
  <si>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</si>
  <si>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</si>
  <si>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</si>
  <si>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</si>
  <si>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</si>
  <si>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</si>
  <si>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</si>
  <si>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</si>
  <si>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</si>
  <si>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</si>
  <si>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</si>
  <si>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</si>
  <si>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</si>
  <si>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</si>
  <si>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</si>
  <si>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</si>
  <si>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</si>
  <si>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</si>
  <si>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</si>
  <si>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</si>
  <si>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</si>
  <si>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</si>
  <si>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</si>
  <si>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</si>
  <si>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</si>
  <si>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</si>
  <si>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</si>
  <si>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</si>
  <si>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</si>
  <si>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</si>
  <si>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</si>
  <si>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</si>
  <si>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</si>
  <si>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</si>
  <si>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</si>
  <si>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</si>
  <si>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</si>
  <si>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</si>
  <si>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</si>
  <si>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</si>
  <si>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</si>
  <si>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</si>
  <si>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</si>
  <si>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</si>
  <si>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</si>
  <si>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</si>
  <si>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</si>
  <si>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</si>
  <si>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</si>
  <si>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</si>
  <si>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</si>
  <si>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</si>
  <si>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</si>
  <si>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</si>
  <si>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</si>
  <si>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</si>
  <si>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</si>
  <si>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</si>
  <si>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</si>
  <si>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</si>
  <si>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</si>
  <si>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</si>
  <si>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</si>
  <si>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</si>
  <si>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</si>
  <si>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</si>
  <si>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</si>
  <si>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</si>
  <si>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</si>
  <si>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</si>
  <si>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</si>
  <si>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</si>
  <si>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</si>
  <si>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</si>
  <si>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</si>
  <si>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</si>
  <si>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</si>
  <si>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</si>
  <si>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</si>
  <si>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</si>
  <si>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</si>
  <si>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</si>
  <si>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</si>
  <si>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</si>
  <si>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</si>
  <si>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</si>
  <si>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</si>
  <si>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</si>
  <si>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</si>
  <si>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</si>
  <si>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</si>
  <si>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</si>
  <si>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</si>
  <si>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</si>
  <si>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</si>
  <si>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</si>
  <si>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</si>
  <si>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</si>
  <si>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</si>
  <si>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</si>
  <si>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</si>
  <si>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</si>
  <si>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</si>
  <si>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</si>
  <si>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</si>
  <si>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</si>
  <si>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</si>
  <si>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</si>
  <si>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</si>
  <si>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</si>
  <si>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</si>
  <si>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</si>
  <si>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</si>
  <si>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</si>
  <si>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</si>
  <si>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</si>
  <si>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</si>
  <si>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</si>
  <si>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</si>
  <si>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</si>
  <si>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</si>
  <si>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</si>
  <si>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</si>
  <si>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</si>
  <si>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</si>
  <si>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</si>
  <si>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</si>
  <si>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</si>
  <si>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</si>
  <si>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</si>
  <si>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</si>
  <si>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</si>
  <si>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</si>
  <si>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</si>
  <si>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</si>
  <si>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</si>
  <si>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</si>
  <si>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</si>
  <si>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</si>
  <si>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</si>
  <si>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</si>
  <si>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</si>
  <si>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</si>
  <si>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</si>
  <si>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</si>
  <si>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</si>
  <si>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</si>
  <si>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</si>
  <si>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</si>
  <si>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</si>
  <si>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</si>
  <si>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</si>
  <si>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</si>
  <si>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</si>
  <si>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01408</t>
  </si>
  <si>
    <t>28794899</t>
  </si>
  <si>
    <t>г.Киров, ул.Менделеева 11-14</t>
  </si>
  <si>
    <t>05.11.2025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</si>
</sst>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№ЕИ-04/02-01408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2013, заводской № 28794899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ул.Менделеева 11-14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24.3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23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51.4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56.4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101.2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101.2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9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11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>
        <f>Данные!B6</f>
        <v>283.5</v>
      </c>
      <c r="AK53" s="199"/>
      <c r="AL53" s="199"/>
      <c r="AM53" s="199"/>
      <c r="AN53" s="199"/>
      <c r="AO53" s="199"/>
      <c r="AP53" s="90"/>
      <c r="AQ53" s="198">
        <f ca="1">AJ53+AW53</f>
        <v>283.50700000000001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0.13300000000000001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283.51400000000001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283.52800000000002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1.4099999999999998E-2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0.89200000000000002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283.54500000000002</v>
      </c>
      <c r="AK55" s="183"/>
      <c r="AL55" s="183"/>
      <c r="AM55" s="183"/>
      <c r="AN55" s="183"/>
      <c r="AO55" s="183"/>
      <c r="AP55" s="90"/>
      <c r="AQ55" s="128">
        <f t="shared" ca="1" si="0"/>
        <v>283.57499999999999</v>
      </c>
      <c r="AR55" s="129"/>
      <c r="AS55" s="129"/>
      <c r="AT55" s="129"/>
      <c r="AU55" s="129"/>
      <c r="AV55" s="130"/>
      <c r="AW55" s="128">
        <f ca="1">ROUNDUP(AC55*120/3600,3)</f>
        <v>3.0000000000000002E-2</v>
      </c>
      <c r="AX55" s="129"/>
      <c r="AY55" s="129"/>
      <c r="AZ55" s="129"/>
      <c r="BA55" s="129"/>
      <c r="BB55" s="129"/>
      <c r="BC55" s="130"/>
      <c r="BD55" s="125">
        <f ca="1">AW55+RANDBETWEEN(-5,5)/10000</f>
        <v>2.9700000000000001E-2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1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05.11.2025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283.5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24.3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51.4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101.2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9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11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2025-09-30T16:03:13Z</cp:lastPrinted>
  <dcterms:created xsi:type="dcterms:W3CDTF">2015-01-22T18:16:29Z</dcterms:created>
  <dcterms:modified xsi:type="dcterms:W3CDTF">2025-11-13T17:33:04Z</dcterms:modified>
</cp:coreProperties>
</file>