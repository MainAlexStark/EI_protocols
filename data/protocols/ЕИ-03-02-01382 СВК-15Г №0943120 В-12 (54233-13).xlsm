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2466BD8B-9DD5-4060-A05A-34DF2D128B96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<sst xmlns="http://schemas.openxmlformats.org/spreadsheetml/2006/main" count="499" uniqueCount="272">
  <si>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</si>
  <si>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</si>
  <si>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</si>
  <si>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</si>
  <si>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</si>
  <si>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</si>
  <si>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</si>
  <si>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</si>
  <si>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</si>
  <si>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</si>
  <si>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</si>
  <si>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</si>
  <si>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</si>
  <si>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</si>
  <si>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</si>
  <si>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</si>
  <si>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</si>
  <si>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</si>
  <si>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</si>
  <si>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</si>
  <si>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</si>
  <si>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</si>
  <si>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</si>
  <si>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</si>
  <si>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</si>
  <si>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</si>
  <si>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</si>
  <si>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</si>
  <si>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</si>
  <si>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</si>
  <si>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</si>
  <si>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</si>
  <si>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</si>
  <si>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</si>
  <si>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</si>
  <si>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</si>
  <si>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</si>
  <si>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</si>
  <si>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</si>
  <si>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</si>
  <si>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</si>
  <si>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</si>
  <si>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</si>
  <si>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</si>
  <si>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</si>
  <si>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</si>
  <si>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</si>
  <si>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</si>
  <si>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</si>
  <si>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</si>
  <si>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</si>
  <si>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</si>
  <si>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</si>
  <si>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</si>
  <si>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</si>
  <si>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</si>
  <si>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</si>
  <si>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</si>
  <si>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</si>
  <si>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</si>
  <si>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</si>
  <si>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</si>
  <si>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</si>
  <si>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</si>
  <si>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</si>
  <si>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</si>
  <si>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</si>
  <si>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</si>
  <si>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</si>
  <si>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</si>
  <si>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</si>
  <si>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</si>
  <si>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</si>
  <si>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</si>
  <si>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</si>
  <si>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</si>
  <si>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</si>
  <si>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</si>
  <si>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</si>
  <si>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</si>
  <si>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</si>
  <si>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</si>
  <si>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</si>
  <si>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</si>
  <si>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</si>
  <si>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</si>
  <si>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</si>
  <si>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</si>
  <si>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</si>
  <si>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</si>
  <si>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</si>
  <si>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</si>
  <si>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</si>
  <si>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</si>
  <si>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</si>
  <si>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</si>
  <si>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</si>
  <si>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</si>
  <si>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</si>
  <si>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</si>
  <si>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</si>
  <si>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</si>
  <si>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</si>
  <si>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</si>
  <si>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</si>
  <si>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</si>
  <si>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</si>
  <si>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</si>
  <si>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</si>
  <si>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</si>
  <si>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</si>
  <si>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</si>
  <si>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</si>
  <si>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</si>
  <si>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</si>
  <si>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</si>
  <si>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</si>
  <si>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</si>
  <si>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</si>
  <si>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</si>
  <si>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</si>
  <si>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</si>
  <si>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</si>
  <si>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</si>
  <si>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</si>
  <si>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</si>
  <si>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</si>
  <si>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</si>
  <si>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</si>
  <si>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</si>
  <si>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</si>
  <si>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</si>
  <si>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</si>
  <si>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</si>
  <si>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</si>
  <si>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</si>
  <si>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</si>
  <si>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</si>
  <si>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</si>
  <si>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</si>
  <si>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</si>
  <si>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</si>
  <si>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</si>
  <si>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</si>
  <si>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</si>
  <si>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</si>
  <si>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</si>
  <si>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</si>
  <si>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</si>
  <si>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</si>
  <si>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</si>
  <si>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</si>
  <si>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</si>
  <si>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</si>
  <si>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</si>
  <si>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</si>
  <si>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</si>
  <si>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</si>
  <si>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</si>
  <si>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</si>
  <si>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</si>
  <si>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</si>
  <si>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</si>
  <si>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</si>
  <si>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</si>
  <si>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</si>
  <si>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</si>
  <si>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</si>
  <si>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</si>
  <si>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</si>
  <si>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</si>
  <si>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</si>
  <si>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</si>
  <si>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</si>
  <si>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</si>
  <si>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</si>
  <si>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</si>
  <si>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</si>
  <si>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</si>
  <si>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</si>
  <si>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</si>
  <si>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</si>
  <si>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</si>
  <si>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</si>
  <si>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</si>
  <si>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</si>
  <si>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</si>
  <si>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</si>
  <si>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</si>
  <si>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</si>
  <si>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</si>
  <si>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</si>
  <si>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</si>
  <si>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</si>
  <si>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</si>
  <si>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</si>
  <si>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</si>
  <si>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</si>
  <si>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</si>
  <si>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</si>
  <si>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</si>
  <si>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</si>
  <si>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</si>
  <si>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</si>
  <si>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</si>
  <si>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</si>
  <si>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</si>
  <si>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</si>
  <si>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</si>
  <si>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</si>
  <si>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</si>
  <si>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</si>
  <si>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</si>
  <si>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</si>
  <si>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</si>
  <si>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</si>
  <si>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</si>
  <si>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</si>
  <si>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</si>
  <si>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</si>
  <si>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</si>
  <si>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</si>
  <si>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</si>
  <si>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</si>
  <si>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</si>
  <si>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</si>
  <si>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</si>
  <si>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</si>
  <si>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</si>
  <si>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</si>
  <si>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</si>
  <si>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</si>
  <si>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</si>
  <si>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</si>
  <si>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</si>
  <si>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</si>
  <si>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</si>
  <si>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</si>
  <si>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</si>
  <si>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</si>
  <si>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</si>
  <si>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</si>
  <si>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</si>
  <si>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</si>
  <si>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</si>
  <si>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</si>
  <si>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</si>
  <si>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</si>
  <si>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</si>
  <si>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</si>
  <si>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</si>
  <si>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</si>
  <si>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</si>
  <si>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</si>
  <si>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</si>
  <si>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</si>
  <si>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</si>
  <si>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</si>
  <si>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</si>
  <si>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</si>
  <si>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</si>
  <si>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</si>
  <si>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</si>
  <si>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</si>
  <si>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</si>
  <si>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</si>
  <si>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</si>
  <si>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СВК-15Г 54233-13</t>
  </si>
  <si>
    <t>01382</t>
  </si>
  <si>
    <t>0943120 В-12</t>
  </si>
  <si>
    <t>г.Киров, ул.Заводская 6/2-588</t>
  </si>
  <si>
    <t>29.10.2025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</si>
</sst>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№ЕИ-04/02-01382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e">
        <f>CONCATENATE("периодической поверки СИ - счетчик воды ",INDEX(Данные!$K$53:$W$117,Данные!K51,13),", год изготовления ",Данные!B3,", заводской № ",Данные!B4)</f>
        <v>#N/A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e">
        <f>CONCATENATE("Регистрационный номер средства измерений в ФИФ ОЕИ: ",INDEX(Данные!$K$53:$W$117,Данные!K51,12))</f>
        <v>#N/A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ул.Заводская 6/2-588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e">
        <f>CONCATENATE("от ",INDEX(Данные!$K$53:$W$117,Данные!K51,3)*2," м3/ч до ",INDEX(Данные!$K$53:$W$117,Данные!K51,7)," м3/ч  (класс А)")</f>
        <v>#N/A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e">
        <f>CONCATENATE("от ",INDEX(Данные!$K$53:$W$117,Данные!K51,3)," м3/ч до ",INDEX(Данные!$K$53:$W$117,Данные!K51,7)," м3/ч  (класс В)")</f>
        <v>#N/A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e">
        <f>CONCATENATE("от ",INDEX(Данные!$K$53:$W$117,Данные!K51,3)*2," м3/ч до ",INDEX(Данные!$K$53:$W$117,Данные!K51,4)," м3/ч : ± ",INDEX(Данные!$K$53:$W$117,Данные!K51,8)," %")</f>
        <v>#N/A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e">
        <f>CONCATENATE("от ",INDEX(Данные!$K$53:$W$117,Данные!K51,4)," м3/ч до ",INDEX(Данные!$K$53:$W$117,Данные!K51,7)," м3/ч : ± ",INDEX(Данные!$K$53:$W$117,Данные!K51,9)," %")</f>
        <v>#N/A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e">
        <f>CONCATENATE("от ",INDEX(Данные!$K$53:$W$117,Данные!K51,3)," м3/ч до ",INDEX(Данные!$K$53:$W$117,Данные!K51,5)," м3/ч : ± ",INDEX(Данные!$K$53:$W$117,Данные!K51,8)," %")</f>
        <v>#N/A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e">
        <f>CONCATENATE("от ",INDEX(Данные!$K$53:$W$117,Данные!K51,5)," м3/ч до ",INDEX(Данные!$K$53:$W$117,Данные!K51,7)," м3/ч : ± ",INDEX(Данные!$K$53:$W$117,Данные!K51,9)," %")</f>
        <v>#N/A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21.6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20.700000000000003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54.7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59.7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99.7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99.7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61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85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e">
        <f>INDEX(Данные!$K$53:$W$117,Данные!K51,2)</f>
        <v>#N/A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3.1E-2</v>
      </c>
      <c r="AD53" s="124"/>
      <c r="AE53" s="124"/>
      <c r="AF53" s="124"/>
      <c r="AG53" s="124"/>
      <c r="AH53" s="124"/>
      <c r="AI53" s="125"/>
      <c r="AJ53" s="122">
        <f>Данные!B5</f>
        <v>334.4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334.40699999999998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7.1000000000000004E-3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-1.4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334.40799999999996</v>
      </c>
      <c r="AK54" s="124"/>
      <c r="AL54" s="124"/>
      <c r="AM54" s="124"/>
      <c r="AN54" s="124"/>
      <c r="AO54" s="124"/>
      <c r="AP54" s="125"/>
      <c r="AQ54" s="123">
        <f t="shared" ca="1" si="0"/>
        <v>334.41499999999996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7.1999999999999998E-3</v>
      </c>
      <c r="BE54" s="136"/>
      <c r="BF54" s="136"/>
      <c r="BG54" s="136"/>
      <c r="BH54" s="136"/>
      <c r="BI54" s="136"/>
      <c r="BJ54" s="137"/>
      <c r="BK54" s="132">
        <f t="shared" ca="1" si="1"/>
        <v>-2.8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3.3000000000000002E-2</v>
      </c>
      <c r="AD55" s="124"/>
      <c r="AE55" s="124"/>
      <c r="AF55" s="124"/>
      <c r="AG55" s="124"/>
      <c r="AH55" s="124"/>
      <c r="AI55" s="125"/>
      <c r="AJ55" s="122">
        <f ca="1">AQ54+RANDBETWEEN(1,3)/1000</f>
        <v>334.41699999999997</v>
      </c>
      <c r="AK55" s="120"/>
      <c r="AL55" s="120"/>
      <c r="AM55" s="120"/>
      <c r="AN55" s="120"/>
      <c r="AO55" s="120"/>
      <c r="AP55" s="121"/>
      <c r="AQ55" s="123">
        <f t="shared" ca="1" si="0"/>
        <v>334.42399999999998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7.0000000000000001E-3</v>
      </c>
      <c r="BE55" s="136"/>
      <c r="BF55" s="136"/>
      <c r="BG55" s="136"/>
      <c r="BH55" s="136"/>
      <c r="BI55" s="136"/>
      <c r="BJ55" s="137"/>
      <c r="BK55" s="132">
        <f t="shared" ca="1" si="1"/>
        <v>0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0.129</v>
      </c>
      <c r="AD56" s="124"/>
      <c r="AE56" s="124"/>
      <c r="AF56" s="124"/>
      <c r="AG56" s="124"/>
      <c r="AH56" s="124"/>
      <c r="AI56" s="125"/>
      <c r="AJ56" s="119">
        <f ca="1">AQ55+RANDBETWEEN(4,7)/1000</f>
        <v>334.42999999999995</v>
      </c>
      <c r="AK56" s="120"/>
      <c r="AL56" s="120"/>
      <c r="AM56" s="120"/>
      <c r="AN56" s="120"/>
      <c r="AO56" s="120"/>
      <c r="AP56" s="121"/>
      <c r="AQ56" s="123">
        <f t="shared" ca="1" si="0"/>
        <v>334.44299999999993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1.3100000000000001E-2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-0.8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334.44699999999995</v>
      </c>
      <c r="AK57" s="120"/>
      <c r="AL57" s="120"/>
      <c r="AM57" s="120"/>
      <c r="AN57" s="120"/>
      <c r="AO57" s="120"/>
      <c r="AP57" s="121"/>
      <c r="AQ57" s="123">
        <f t="shared" ca="1" si="0"/>
        <v>334.45999999999992</v>
      </c>
      <c r="AR57" s="124"/>
      <c r="AS57" s="124"/>
      <c r="AT57" s="124"/>
      <c r="AU57" s="124"/>
      <c r="AV57" s="125"/>
      <c r="AW57" s="123">
        <f ca="1">ROUNDUP(AC57*360/3600,3)</f>
        <v>1.2999999999999999E-2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1.29E-2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0.8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0.125</v>
      </c>
      <c r="AD58" s="124"/>
      <c r="AE58" s="124"/>
      <c r="AF58" s="124"/>
      <c r="AG58" s="124"/>
      <c r="AH58" s="124"/>
      <c r="AI58" s="125"/>
      <c r="AJ58" s="119">
        <f t="shared" ca="1" si="4"/>
        <v>334.46599999999989</v>
      </c>
      <c r="AK58" s="120"/>
      <c r="AL58" s="120"/>
      <c r="AM58" s="120"/>
      <c r="AN58" s="120"/>
      <c r="AO58" s="120"/>
      <c r="AP58" s="121"/>
      <c r="AQ58" s="123">
        <f t="shared" ca="1" si="0"/>
        <v>334.47899999999987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1.3000000000000001E-2</v>
      </c>
      <c r="BE58" s="136"/>
      <c r="BF58" s="136"/>
      <c r="BG58" s="136"/>
      <c r="BH58" s="136"/>
      <c r="BI58" s="136"/>
      <c r="BJ58" s="137"/>
      <c r="BK58" s="132">
        <f t="shared" ca="1" si="5"/>
        <v>0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0.94199999999999995</v>
      </c>
      <c r="AD59" s="158"/>
      <c r="AE59" s="158"/>
      <c r="AF59" s="158"/>
      <c r="AG59" s="158"/>
      <c r="AH59" s="158"/>
      <c r="AI59" s="159"/>
      <c r="AJ59" s="174">
        <f ca="1">AQ58+RANDBETWEEN(15,18)/1000</f>
        <v>334.49499999999989</v>
      </c>
      <c r="AK59" s="175"/>
      <c r="AL59" s="175"/>
      <c r="AM59" s="175"/>
      <c r="AN59" s="175"/>
      <c r="AO59" s="175"/>
      <c r="AP59" s="176"/>
      <c r="AQ59" s="126">
        <f ca="1">AJ59+AW59</f>
        <v>334.52699999999987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3.1800000000000002E-2</v>
      </c>
      <c r="BE59" s="160"/>
      <c r="BF59" s="160"/>
      <c r="BG59" s="160"/>
      <c r="BH59" s="160"/>
      <c r="BI59" s="160"/>
      <c r="BJ59" s="161"/>
      <c r="BK59" s="132">
        <f ca="1">ROUND(((AW59-BD59)/BD59)*100,1)</f>
        <v>0.6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0.89800000000000002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334.54299999999989</v>
      </c>
      <c r="AK60" s="120"/>
      <c r="AL60" s="120"/>
      <c r="AM60" s="120"/>
      <c r="AN60" s="120"/>
      <c r="AO60" s="120"/>
      <c r="AP60" s="121"/>
      <c r="AQ60" s="123">
        <f t="shared" ca="1" si="0"/>
        <v>334.57299999999987</v>
      </c>
      <c r="AR60" s="124"/>
      <c r="AS60" s="124"/>
      <c r="AT60" s="124"/>
      <c r="AU60" s="124"/>
      <c r="AV60" s="125"/>
      <c r="AW60" s="123">
        <f t="shared" ref="AW60:AW61" ca="1" si="7">ROUNDUP(AC60*120/3600,3)</f>
        <v>3.0000000000000002E-2</v>
      </c>
      <c r="AX60" s="130"/>
      <c r="AY60" s="130"/>
      <c r="AZ60" s="130"/>
      <c r="BA60" s="130"/>
      <c r="BB60" s="130"/>
      <c r="BC60" s="131"/>
      <c r="BD60" s="135">
        <f ca="1">AW60+RANDBETWEEN(-5,5)/10000</f>
        <v>3.0200000000000001E-2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-0.7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0.90300000000000002</v>
      </c>
      <c r="AD61" s="158"/>
      <c r="AE61" s="158"/>
      <c r="AF61" s="158"/>
      <c r="AG61" s="158"/>
      <c r="AH61" s="158"/>
      <c r="AI61" s="159"/>
      <c r="AJ61" s="171">
        <f ca="1">AQ60+RANDBETWEEN(15,18)/1000</f>
        <v>334.59099999999984</v>
      </c>
      <c r="AK61" s="172"/>
      <c r="AL61" s="172"/>
      <c r="AM61" s="172"/>
      <c r="AN61" s="172"/>
      <c r="AO61" s="172"/>
      <c r="AP61" s="173"/>
      <c r="AQ61" s="129">
        <f t="shared" ca="1" si="0"/>
        <v>334.62199999999984</v>
      </c>
      <c r="AR61" s="130"/>
      <c r="AS61" s="130"/>
      <c r="AT61" s="130"/>
      <c r="AU61" s="130"/>
      <c r="AV61" s="131"/>
      <c r="AW61" s="123">
        <f t="shared" ca="1" si="7"/>
        <v>3.1E-2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3.1E-2</v>
      </c>
      <c r="BE61" s="160"/>
      <c r="BF61" s="160"/>
      <c r="BG61" s="160"/>
      <c r="BH61" s="160"/>
      <c r="BI61" s="160"/>
      <c r="BJ61" s="161"/>
      <c r="BK61" s="132">
        <f ca="1">ROUND(((AW61-BD61)/BD61)*100,1)</f>
        <v>0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 t="str">
        <f>Данные!B9</f>
        <v>29.10.2025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2012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334.4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271</v>
      </c>
      <c r="C9" s="13"/>
      <c r="D9" s="13"/>
      <c r="E9" s="13"/>
    </row>
    <row r="10" spans="1:21" ht="18" x14ac:dyDescent="0.35">
      <c r="A10" s="11" t="s">
        <v>15</v>
      </c>
      <c r="B10" s="76">
        <v>21.6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54.7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99.7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61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85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 t="e">
        <f>MATCH(B1,K53:K117,0)</f>
        <v>#N/A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2025-11-13T17:32:08Z</dcterms:modified>
</cp:coreProperties>
</file>