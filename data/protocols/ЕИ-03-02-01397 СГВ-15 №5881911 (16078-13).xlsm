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projects\python\EI_protocols\data\protocols\"/>
    </mc:Choice>
  </mc:AlternateContent>
  <xr:revisionPtr revIDLastSave="0" documentId="8_{8530F4E0-1F8F-4959-B4C9-9AB1EC06AF01}" xr6:coauthVersionLast="47" xr6:coauthVersionMax="47" xr10:uidLastSave="{00000000-0000-0000-0000-000000000000}"/>
  <bookViews>
    <workbookView xWindow="30195" yWindow="1395" windowWidth="21600" windowHeight="11235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<sst xmlns="http://schemas.openxmlformats.org/spreadsheetml/2006/main" count="408" uniqueCount="238">
  <si>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</si>
  <si>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</si>
  <si>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</si>
  <si>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</si>
  <si>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</si>
  <si>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</si>
  <si>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</si>
  <si>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</si>
  <si>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</si>
  <si>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</si>
  <si>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</si>
  <si>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</si>
  <si>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</si>
  <si>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</si>
  <si>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</si>
  <si>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</si>
  <si>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</si>
  <si>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</si>
  <si>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</si>
  <si>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</si>
  <si>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</si>
  <si>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</si>
  <si>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</si>
  <si>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</si>
  <si>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</si>
  <si>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</si>
  <si>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</si>
  <si>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</si>
  <si>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</si>
  <si>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</si>
  <si>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</si>
  <si>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</si>
  <si>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</si>
  <si>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</si>
  <si>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</si>
  <si>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</si>
  <si>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</si>
  <si>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</si>
  <si>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</si>
  <si>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</si>
  <si>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</si>
  <si>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</si>
  <si>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</si>
  <si>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</si>
  <si>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</si>
  <si>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</si>
  <si>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</si>
  <si>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</si>
  <si>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</si>
  <si>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</si>
  <si>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</si>
  <si>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</si>
  <si>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</si>
  <si>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</si>
  <si>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</si>
  <si>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</si>
  <si>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</si>
  <si>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</si>
  <si>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</si>
  <si>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</si>
  <si>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</si>
  <si>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</si>
  <si>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</si>
  <si>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</si>
  <si>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</si>
  <si>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</si>
  <si>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</si>
  <si>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</si>
  <si>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</si>
  <si>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</si>
  <si>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</si>
  <si>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</si>
  <si>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</si>
  <si>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</si>
  <si>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</si>
  <si>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</si>
  <si>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</si>
  <si>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</si>
  <si>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</si>
  <si>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</si>
  <si>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</si>
  <si>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</si>
  <si>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</si>
  <si>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</si>
  <si>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</si>
  <si>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</si>
  <si>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</si>
  <si>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</si>
  <si>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</si>
  <si>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</si>
  <si>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</si>
  <si>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</si>
  <si>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</si>
  <si>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</si>
  <si>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</si>
  <si>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</si>
  <si>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</si>
  <si>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</si>
  <si>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</si>
  <si>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</si>
  <si>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</si>
  <si>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</si>
  <si>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</si>
  <si>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</si>
  <si>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</si>
  <si>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</si>
  <si>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</si>
  <si>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</si>
  <si>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</si>
  <si>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</si>
  <si>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</si>
  <si>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</si>
  <si>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</si>
  <si>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</si>
  <si>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</si>
  <si>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</si>
  <si>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</si>
  <si>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</si>
  <si>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</si>
  <si>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</si>
  <si>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</si>
  <si>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</si>
  <si>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</si>
  <si>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</si>
  <si>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</si>
  <si>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</si>
  <si>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</si>
  <si>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</si>
  <si>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</si>
  <si>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</si>
  <si>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</si>
  <si>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</si>
  <si>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</si>
  <si>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</si>
  <si>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</si>
  <si>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</si>
  <si>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</si>
  <si>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</si>
  <si>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</si>
  <si>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</si>
  <si>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</si>
  <si>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</si>
  <si>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</si>
  <si>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</si>
  <si>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</si>
  <si>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</si>
  <si>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</si>
  <si>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</si>
  <si>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</si>
  <si>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</si>
  <si>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</si>
  <si>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</si>
  <si>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</si>
  <si>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</si>
  <si>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</si>
  <si>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</si>
  <si>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</si>
  <si>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</si>
  <si>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</si>
  <si>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</si>
  <si>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</si>
  <si>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</si>
  <si>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</si>
  <si>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</si>
  <si>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</si>
  <si>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</si>
  <si>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</si>
  <si>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</si>
  <si>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</si>
  <si>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</si>
  <si>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</si>
  <si>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</si>
  <si>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</si>
  <si>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</si>
  <si>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</si>
  <si>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</si>
  <si>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</si>
  <si>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</si>
  <si>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</si>
  <si>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</si>
  <si>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</si>
  <si>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</si>
  <si>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</si>
  <si>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</si>
  <si>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</si>
  <si>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</si>
  <si>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</si>
  <si>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</si>
  <si>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</si>
  <si>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</si>
  <si>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</si>
  <si>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</si>
  <si>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</si>
  <si>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</si>
  <si>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</si>
  <si>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</si>
  <si>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</si>
  <si>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</si>
  <si>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</si>
  <si>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</si>
  <si>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</si>
  <si>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</si>
  <si>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</si>
  <si>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</si>
  <si>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</si>
  <si>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</si>
  <si>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</si>
  <si>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</si>
  <si>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</si>
  <si>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</si>
  <si>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</si>
  <si>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</si>
  <si>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</si>
  <si>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</si>
  <si>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</si>
  <si>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</si>
  <si>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</si>
  <si>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</si>
  <si>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</si>
  <si>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</si>
  <si>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</si>
  <si>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</si>
  <si>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</si>
  <si>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</si>
  <si>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</si>
  <si>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</si>
  <si>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</si>
  <si>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</si>
  <si>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</si>
  <si>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</si>
  <si>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</si>
  <si>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</si>
  <si>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</si>
  <si>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</si>
  <si>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01397</t>
  </si>
  <si>
    <t>5881911</t>
  </si>
  <si>
    <t>г.Яранск, ул.Лицкевича 57-14</t>
  </si>
  <si>
    <t>30.10.2025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</si>
</sst>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4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№ЕИ-04/02-01397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2007, заводской № 5881911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г.Яранск, ул.Лицкевича 57-14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23.3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24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51.1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59.1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101.2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101.2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10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14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3.1E-2</v>
      </c>
      <c r="AD53" s="129"/>
      <c r="AE53" s="129"/>
      <c r="AF53" s="129"/>
      <c r="AG53" s="129"/>
      <c r="AH53" s="129"/>
      <c r="AI53" s="130"/>
      <c r="AJ53" s="199">
        <f>Данные!B6</f>
        <v>528</v>
      </c>
      <c r="AK53" s="199"/>
      <c r="AL53" s="199"/>
      <c r="AM53" s="199"/>
      <c r="AN53" s="199"/>
      <c r="AO53" s="199"/>
      <c r="AP53" s="90"/>
      <c r="AQ53" s="198">
        <f ca="1">AJ53+AW53</f>
        <v>528.00699999999995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6.8999999999999999E-3</v>
      </c>
      <c r="BE53" s="126"/>
      <c r="BF53" s="126"/>
      <c r="BG53" s="126"/>
      <c r="BH53" s="126"/>
      <c r="BI53" s="126"/>
      <c r="BJ53" s="127"/>
      <c r="BK53" s="101">
        <f ca="1">ROUND(((AW53-BD53)/BD53)*100,1)</f>
        <v>1.4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0.128</v>
      </c>
      <c r="AD54" s="129"/>
      <c r="AE54" s="129"/>
      <c r="AF54" s="129"/>
      <c r="AG54" s="129"/>
      <c r="AH54" s="129"/>
      <c r="AI54" s="130"/>
      <c r="AJ54" s="183">
        <f ca="1">AQ53+RANDBETWEEN(4,7)/1000</f>
        <v>528.0139999999999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528.02699999999993</v>
      </c>
      <c r="AR54" s="129"/>
      <c r="AS54" s="129"/>
      <c r="AT54" s="129"/>
      <c r="AU54" s="129"/>
      <c r="AV54" s="130"/>
      <c r="AW54" s="128">
        <f ca="1">ROUNDUP(AC54*360/3600,3)</f>
        <v>1.3000000000000001E-2</v>
      </c>
      <c r="AX54" s="129"/>
      <c r="AY54" s="129"/>
      <c r="AZ54" s="129"/>
      <c r="BA54" s="129"/>
      <c r="BB54" s="129"/>
      <c r="BC54" s="130"/>
      <c r="BD54" s="125">
        <f ca="1">AW54+RANDBETWEEN(-2,2)/10000</f>
        <v>1.3000000000000001E-2</v>
      </c>
      <c r="BE54" s="126"/>
      <c r="BF54" s="126"/>
      <c r="BG54" s="126"/>
      <c r="BH54" s="126"/>
      <c r="BI54" s="126"/>
      <c r="BJ54" s="127"/>
      <c r="BK54" s="101">
        <f ca="1">ROUND(((AW54-BD54)/BD54)*100,1)</f>
        <v>0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0.89300000000000002</v>
      </c>
      <c r="AD55" s="148"/>
      <c r="AE55" s="148"/>
      <c r="AF55" s="148"/>
      <c r="AG55" s="148"/>
      <c r="AH55" s="148"/>
      <c r="AI55" s="149"/>
      <c r="AJ55" s="183">
        <f ca="1">AQ54+RANDBETWEEN(15,18)/1000</f>
        <v>528.04299999999989</v>
      </c>
      <c r="AK55" s="183"/>
      <c r="AL55" s="183"/>
      <c r="AM55" s="183"/>
      <c r="AN55" s="183"/>
      <c r="AO55" s="183"/>
      <c r="AP55" s="90"/>
      <c r="AQ55" s="128">
        <f t="shared" ca="1" si="0"/>
        <v>528.07299999999987</v>
      </c>
      <c r="AR55" s="129"/>
      <c r="AS55" s="129"/>
      <c r="AT55" s="129"/>
      <c r="AU55" s="129"/>
      <c r="AV55" s="130"/>
      <c r="AW55" s="128">
        <f ca="1">ROUNDUP(AC55*120/3600,3)</f>
        <v>3.0000000000000002E-2</v>
      </c>
      <c r="AX55" s="129"/>
      <c r="AY55" s="129"/>
      <c r="AZ55" s="129"/>
      <c r="BA55" s="129"/>
      <c r="BB55" s="129"/>
      <c r="BC55" s="130"/>
      <c r="BD55" s="125">
        <f ca="1">AW55+RANDBETWEEN(-5,5)/10000</f>
        <v>3.0400000000000003E-2</v>
      </c>
      <c r="BE55" s="150"/>
      <c r="BF55" s="150"/>
      <c r="BG55" s="150"/>
      <c r="BH55" s="150"/>
      <c r="BI55" s="150"/>
      <c r="BJ55" s="151"/>
      <c r="BK55" s="101">
        <f ca="1">ROUND(((AW55-BD55)/BD55)*100,1)</f>
        <v>-1.3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 t="str">
        <f>Данные!B10</f>
        <v>30.10.2025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t="s">
        <v>225</v>
      </c>
    </row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6" sqref="B6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2007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>
        <v>528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236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 t="s">
        <v>237</v>
      </c>
      <c r="C10" s="13"/>
      <c r="D10" s="13"/>
      <c r="E10" s="13"/>
    </row>
    <row r="11" spans="1:21" ht="18" x14ac:dyDescent="0.35">
      <c r="A11" s="11" t="s">
        <v>15</v>
      </c>
      <c r="B11" s="76">
        <v>23.3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51.1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101.2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10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14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45974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2025-09-21T11:47:13Z</cp:lastPrinted>
  <dcterms:created xsi:type="dcterms:W3CDTF">2015-01-22T18:16:29Z</dcterms:created>
  <dcterms:modified xsi:type="dcterms:W3CDTF">2025-11-13T17:32:40Z</dcterms:modified>
</cp:coreProperties>
</file>