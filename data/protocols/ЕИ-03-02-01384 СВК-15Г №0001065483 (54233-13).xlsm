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B7AD225D-AC96-410F-AB60-549442DB85D0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<sst xmlns="http://schemas.openxmlformats.org/spreadsheetml/2006/main" count="499" uniqueCount="272">
  <si>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</si>
  <si>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</si>
  <si>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</si>
  <si>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</si>
  <si>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</si>
  <si>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</si>
  <si>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</si>
  <si>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</si>
  <si>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</si>
  <si>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</si>
  <si>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</si>
  <si>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</si>
  <si>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</si>
  <si>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</si>
  <si>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</si>
  <si>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</si>
  <si>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</si>
  <si>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</si>
  <si>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</si>
  <si>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</si>
  <si>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</si>
  <si>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</si>
  <si>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</si>
  <si>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</si>
  <si>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</si>
  <si>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</si>
  <si>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</si>
  <si>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</si>
  <si>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</si>
  <si>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</si>
  <si>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</si>
  <si>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</si>
  <si>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</si>
  <si>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</si>
  <si>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</si>
  <si>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</si>
  <si>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</si>
  <si>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</si>
  <si>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</si>
  <si>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</si>
  <si>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</si>
  <si>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</si>
  <si>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</si>
  <si>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</si>
  <si>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</si>
  <si>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</si>
  <si>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</si>
  <si>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</si>
  <si>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</si>
  <si>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</si>
  <si>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</si>
  <si>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</si>
  <si>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</si>
  <si>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</si>
  <si>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</si>
  <si>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</si>
  <si>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</si>
  <si>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</si>
  <si>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</si>
  <si>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</si>
  <si>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</si>
  <si>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</si>
  <si>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</si>
  <si>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</si>
  <si>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</si>
  <si>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</si>
  <si>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</si>
  <si>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</si>
  <si>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</si>
  <si>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</si>
  <si>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</si>
  <si>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</si>
  <si>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</si>
  <si>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</si>
  <si>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</si>
  <si>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</si>
  <si>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</si>
  <si>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</si>
  <si>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</si>
  <si>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</si>
  <si>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</si>
  <si>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</si>
  <si>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</si>
  <si>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</si>
  <si>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</si>
  <si>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</si>
  <si>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</si>
  <si>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</si>
  <si>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</si>
  <si>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</si>
  <si>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</si>
  <si>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</si>
  <si>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</si>
  <si>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</si>
  <si>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</si>
  <si>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</si>
  <si>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</si>
  <si>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</si>
  <si>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</si>
  <si>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</si>
  <si>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</si>
  <si>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</si>
  <si>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</si>
  <si>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</si>
  <si>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</si>
  <si>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</si>
  <si>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</si>
  <si>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</si>
  <si>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</si>
  <si>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</si>
  <si>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</si>
  <si>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</si>
  <si>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</si>
  <si>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</si>
  <si>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</si>
  <si>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</si>
  <si>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</si>
  <si>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</si>
  <si>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</si>
  <si>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</si>
  <si>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</si>
  <si>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</si>
  <si>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</si>
  <si>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</si>
  <si>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</si>
  <si>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</si>
  <si>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</si>
  <si>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</si>
  <si>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</si>
  <si>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</si>
  <si>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</si>
  <si>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</si>
  <si>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</si>
  <si>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</si>
  <si>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</si>
  <si>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</si>
  <si>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</si>
  <si>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</si>
  <si>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</si>
  <si>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</si>
  <si>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</si>
  <si>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</si>
  <si>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</si>
  <si>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</si>
  <si>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</si>
  <si>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</si>
  <si>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</si>
  <si>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</si>
  <si>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</si>
  <si>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</si>
  <si>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</si>
  <si>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</si>
  <si>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</si>
  <si>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</si>
  <si>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</si>
  <si>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</si>
  <si>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</si>
  <si>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</si>
  <si>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</si>
  <si>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</si>
  <si>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</si>
  <si>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</si>
  <si>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</si>
  <si>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</si>
  <si>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</si>
  <si>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</si>
  <si>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</si>
  <si>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</si>
  <si>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</si>
  <si>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</si>
  <si>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</si>
  <si>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</si>
  <si>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</si>
  <si>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</si>
  <si>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</si>
  <si>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</si>
  <si>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</si>
  <si>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</si>
  <si>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</si>
  <si>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</si>
  <si>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</si>
  <si>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</si>
  <si>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</si>
  <si>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</si>
  <si>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</si>
  <si>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</si>
  <si>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</si>
  <si>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</si>
  <si>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</si>
  <si>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</si>
  <si>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</si>
  <si>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</si>
  <si>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</si>
  <si>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</si>
  <si>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</si>
  <si>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</si>
  <si>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</si>
  <si>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</si>
  <si>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</si>
  <si>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</si>
  <si>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</si>
  <si>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</si>
  <si>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</si>
  <si>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</si>
  <si>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</si>
  <si>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</si>
  <si>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</si>
  <si>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</si>
  <si>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</si>
  <si>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</si>
  <si>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</si>
  <si>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</si>
  <si>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</si>
  <si>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</si>
  <si>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</si>
  <si>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</si>
  <si>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</si>
  <si>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</si>
  <si>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</si>
  <si>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</si>
  <si>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</si>
  <si>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</si>
  <si>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</si>
  <si>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</si>
  <si>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</si>
  <si>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</si>
  <si>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</si>
  <si>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</si>
  <si>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</si>
  <si>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</si>
  <si>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</si>
  <si>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</si>
  <si>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</si>
  <si>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</si>
  <si>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</si>
  <si>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</si>
  <si>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</si>
  <si>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</si>
  <si>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</si>
  <si>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</si>
  <si>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</si>
  <si>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</si>
  <si>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</si>
  <si>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</si>
  <si>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</si>
  <si>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</si>
  <si>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</si>
  <si>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</si>
  <si>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</si>
  <si>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</si>
  <si>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</si>
  <si>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</si>
  <si>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</si>
  <si>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</si>
  <si>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</si>
  <si>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</si>
  <si>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</si>
  <si>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</si>
  <si>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</si>
  <si>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</si>
  <si>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</si>
  <si>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</si>
  <si>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</si>
  <si>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</si>
  <si>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</si>
  <si>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</si>
  <si>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</si>
  <si>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СВК-15Г 54233-13</t>
  </si>
  <si>
    <t>01384</t>
  </si>
  <si>
    <t>0001065483</t>
  </si>
  <si>
    <t>г.Киров, ул.Занкина 9-70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</si>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</sst>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№ЕИ-04/02-01384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e">
        <f>CONCATENATE("периодической поверки СИ - счетчик воды ",INDEX(Данные!$K$53:$W$117,Данные!K51,13),", год изготовления ",Данные!B3,", заводской № ",Данные!B4)</f>
        <v>#N/A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#N/A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ул.Занкина 9-70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#N/A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#N/A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#N/A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#N/A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#N/A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#N/A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22.1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61.2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12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e">
        <f>INDEX(Данные!$K$53:$W$117,Данные!K51,2)</f>
        <v>#N/A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>
        <f>Данные!B5</f>
        <v>330.4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330.40699999999998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6.8000000000000005E-3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2.9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330.40899999999999</v>
      </c>
      <c r="AK54" s="124"/>
      <c r="AL54" s="124"/>
      <c r="AM54" s="124"/>
      <c r="AN54" s="124"/>
      <c r="AO54" s="124"/>
      <c r="AP54" s="125"/>
      <c r="AQ54" s="123">
        <f t="shared" ca="1" si="0"/>
        <v>330.416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7.0000000000000001E-3</v>
      </c>
      <c r="BE54" s="136"/>
      <c r="BF54" s="136"/>
      <c r="BG54" s="136"/>
      <c r="BH54" s="136"/>
      <c r="BI54" s="136"/>
      <c r="BJ54" s="137"/>
      <c r="BK54" s="132">
        <f t="shared" ca="1" si="1"/>
        <v>0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3.3000000000000002E-2</v>
      </c>
      <c r="AD55" s="124"/>
      <c r="AE55" s="124"/>
      <c r="AF55" s="124"/>
      <c r="AG55" s="124"/>
      <c r="AH55" s="124"/>
      <c r="AI55" s="125"/>
      <c r="AJ55" s="122">
        <f ca="1">AQ54+RANDBETWEEN(1,3)/1000</f>
        <v>330.41699999999997</v>
      </c>
      <c r="AK55" s="120"/>
      <c r="AL55" s="120"/>
      <c r="AM55" s="120"/>
      <c r="AN55" s="120"/>
      <c r="AO55" s="120"/>
      <c r="AP55" s="121"/>
      <c r="AQ55" s="123">
        <f t="shared" ca="1" si="0"/>
        <v>330.42399999999998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7.1000000000000004E-3</v>
      </c>
      <c r="BE55" s="136"/>
      <c r="BF55" s="136"/>
      <c r="BG55" s="136"/>
      <c r="BH55" s="136"/>
      <c r="BI55" s="136"/>
      <c r="BJ55" s="137"/>
      <c r="BK55" s="132">
        <f t="shared" ca="1" si="1"/>
        <v>-1.4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0.128</v>
      </c>
      <c r="AD56" s="124"/>
      <c r="AE56" s="124"/>
      <c r="AF56" s="124"/>
      <c r="AG56" s="124"/>
      <c r="AH56" s="124"/>
      <c r="AI56" s="125"/>
      <c r="AJ56" s="119">
        <f ca="1">AQ55+RANDBETWEEN(4,7)/1000</f>
        <v>330.42999999999995</v>
      </c>
      <c r="AK56" s="120"/>
      <c r="AL56" s="120"/>
      <c r="AM56" s="120"/>
      <c r="AN56" s="120"/>
      <c r="AO56" s="120"/>
      <c r="AP56" s="121"/>
      <c r="AQ56" s="123">
        <f t="shared" ca="1" si="0"/>
        <v>330.44299999999993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1.2800000000000001E-2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1.6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0.13300000000000001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330.4489999999999</v>
      </c>
      <c r="AK57" s="120"/>
      <c r="AL57" s="120"/>
      <c r="AM57" s="120"/>
      <c r="AN57" s="120"/>
      <c r="AO57" s="120"/>
      <c r="AP57" s="121"/>
      <c r="AQ57" s="123">
        <f t="shared" ca="1" si="0"/>
        <v>330.46299999999991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1.3899999999999999E-2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0.7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0.13200000000000001</v>
      </c>
      <c r="AD58" s="124"/>
      <c r="AE58" s="124"/>
      <c r="AF58" s="124"/>
      <c r="AG58" s="124"/>
      <c r="AH58" s="124"/>
      <c r="AI58" s="125"/>
      <c r="AJ58" s="119">
        <f t="shared" ca="1" si="4"/>
        <v>330.46699999999993</v>
      </c>
      <c r="AK58" s="120"/>
      <c r="AL58" s="120"/>
      <c r="AM58" s="120"/>
      <c r="AN58" s="120"/>
      <c r="AO58" s="120"/>
      <c r="AP58" s="121"/>
      <c r="AQ58" s="123">
        <f t="shared" ca="1" si="0"/>
        <v>330.48099999999994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1.3899999999999999E-2</v>
      </c>
      <c r="BE58" s="136"/>
      <c r="BF58" s="136"/>
      <c r="BG58" s="136"/>
      <c r="BH58" s="136"/>
      <c r="BI58" s="136"/>
      <c r="BJ58" s="137"/>
      <c r="BK58" s="132">
        <f t="shared" ca="1" si="5"/>
        <v>0.7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0.92200000000000004</v>
      </c>
      <c r="AD59" s="158"/>
      <c r="AE59" s="158"/>
      <c r="AF59" s="158"/>
      <c r="AG59" s="158"/>
      <c r="AH59" s="158"/>
      <c r="AI59" s="159"/>
      <c r="AJ59" s="174">
        <f ca="1">AQ58+RANDBETWEEN(15,18)/1000</f>
        <v>330.49899999999991</v>
      </c>
      <c r="AK59" s="175"/>
      <c r="AL59" s="175"/>
      <c r="AM59" s="175"/>
      <c r="AN59" s="175"/>
      <c r="AO59" s="175"/>
      <c r="AP59" s="176"/>
      <c r="AQ59" s="126">
        <f ca="1">AJ59+AW59</f>
        <v>330.52999999999992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3.0599999999999999E-2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0.94099999999999995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330.5449999999999</v>
      </c>
      <c r="AK60" s="120"/>
      <c r="AL60" s="120"/>
      <c r="AM60" s="120"/>
      <c r="AN60" s="120"/>
      <c r="AO60" s="120"/>
      <c r="AP60" s="121"/>
      <c r="AQ60" s="123">
        <f t="shared" ca="1" si="0"/>
        <v>330.57699999999988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3.2500000000000001E-2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-1.5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0.94599999999999995</v>
      </c>
      <c r="AD61" s="158"/>
      <c r="AE61" s="158"/>
      <c r="AF61" s="158"/>
      <c r="AG61" s="158"/>
      <c r="AH61" s="158"/>
      <c r="AI61" s="159"/>
      <c r="AJ61" s="171">
        <f ca="1">AQ60+RANDBETWEEN(15,18)/1000</f>
        <v>330.59199999999987</v>
      </c>
      <c r="AK61" s="172"/>
      <c r="AL61" s="172"/>
      <c r="AM61" s="172"/>
      <c r="AN61" s="172"/>
      <c r="AO61" s="172"/>
      <c r="AP61" s="173"/>
      <c r="AQ61" s="129">
        <f t="shared" ca="1" si="0"/>
        <v>330.62399999999985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3.1600000000000003E-2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330.4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271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12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 t="e">
        <f>MATCH(B1,K53:K117,0)</f>
        <v>#N/A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2025-11-13T17:32:12Z</dcterms:modified>
</cp:coreProperties>
</file>