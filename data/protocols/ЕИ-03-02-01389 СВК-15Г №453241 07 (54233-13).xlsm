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B3A2FDD7-9E0B-42EE-A829-8C98EE96D62D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<sst xmlns="http://schemas.openxmlformats.org/spreadsheetml/2006/main" count="499" uniqueCount="272">
  <si>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</si>
  <si>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</si>
  <si>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</si>
  <si>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</si>
  <si>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</si>
  <si>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</si>
  <si>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</si>
  <si>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</si>
  <si>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</si>
  <si>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</si>
  <si>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</si>
  <si>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</si>
  <si>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</si>
  <si>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</si>
  <si>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</si>
  <si>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</si>
  <si>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</si>
  <si>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</si>
  <si>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</si>
  <si>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</si>
  <si>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</si>
  <si>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</si>
  <si>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</si>
  <si>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</si>
  <si>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</si>
  <si>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</si>
  <si>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</si>
  <si>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</si>
  <si>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</si>
  <si>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</si>
  <si>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</si>
  <si>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</si>
  <si>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</si>
  <si>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</si>
  <si>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</si>
  <si>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</si>
  <si>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</si>
  <si>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</si>
  <si>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</si>
  <si>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</si>
  <si>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</si>
  <si>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</si>
  <si>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</si>
  <si>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</si>
  <si>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</si>
  <si>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</si>
  <si>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</si>
  <si>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</si>
  <si>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</si>
  <si>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</si>
  <si>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</si>
  <si>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</si>
  <si>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</si>
  <si>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</si>
  <si>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</si>
  <si>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</si>
  <si>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</si>
  <si>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</si>
  <si>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</si>
  <si>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</si>
  <si>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</si>
  <si>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</si>
  <si>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</si>
  <si>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</si>
  <si>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</si>
  <si>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</si>
  <si>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</si>
  <si>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</si>
  <si>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</si>
  <si>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</si>
  <si>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</si>
  <si>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</si>
  <si>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</si>
  <si>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</si>
  <si>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</si>
  <si>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</si>
  <si>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</si>
  <si>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</si>
  <si>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</si>
  <si>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</si>
  <si>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</si>
  <si>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</si>
  <si>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</si>
  <si>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</si>
  <si>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</si>
  <si>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</si>
  <si>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</si>
  <si>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</si>
  <si>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</si>
  <si>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</si>
  <si>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</si>
  <si>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</si>
  <si>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</si>
  <si>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</si>
  <si>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</si>
  <si>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</si>
  <si>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</si>
  <si>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</si>
  <si>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</si>
  <si>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</si>
  <si>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</si>
  <si>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</si>
  <si>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</si>
  <si>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</si>
  <si>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</si>
  <si>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</si>
  <si>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</si>
  <si>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</si>
  <si>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</si>
  <si>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</si>
  <si>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</si>
  <si>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</si>
  <si>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</si>
  <si>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</si>
  <si>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</si>
  <si>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</si>
  <si>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</si>
  <si>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</si>
  <si>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</si>
  <si>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</si>
  <si>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</si>
  <si>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</si>
  <si>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</si>
  <si>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</si>
  <si>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</si>
  <si>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</si>
  <si>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</si>
  <si>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</si>
  <si>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</si>
  <si>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</si>
  <si>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</si>
  <si>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</si>
  <si>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</si>
  <si>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</si>
  <si>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</si>
  <si>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</si>
  <si>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</si>
  <si>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</si>
  <si>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</si>
  <si>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</si>
  <si>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</si>
  <si>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</si>
  <si>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</si>
  <si>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</si>
  <si>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</si>
  <si>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</si>
  <si>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</si>
  <si>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</si>
  <si>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</si>
  <si>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</si>
  <si>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</si>
  <si>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</si>
  <si>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</si>
  <si>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</si>
  <si>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</si>
  <si>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</si>
  <si>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</si>
  <si>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</si>
  <si>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</si>
  <si>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</si>
  <si>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</si>
  <si>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</si>
  <si>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</si>
  <si>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</si>
  <si>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</si>
  <si>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</si>
  <si>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</si>
  <si>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</si>
  <si>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</si>
  <si>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</si>
  <si>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</si>
  <si>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</si>
  <si>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</si>
  <si>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</si>
  <si>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</si>
  <si>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</si>
  <si>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</si>
  <si>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</si>
  <si>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</si>
  <si>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</si>
  <si>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</si>
  <si>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</si>
  <si>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</si>
  <si>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</si>
  <si>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</si>
  <si>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</si>
  <si>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</si>
  <si>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</si>
  <si>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</si>
  <si>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</si>
  <si>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</si>
  <si>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</si>
  <si>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</si>
  <si>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</si>
  <si>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</si>
  <si>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</si>
  <si>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</si>
  <si>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</si>
  <si>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</si>
  <si>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</si>
  <si>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</si>
  <si>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</si>
  <si>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</si>
  <si>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</si>
  <si>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</si>
  <si>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</si>
  <si>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</si>
  <si>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</si>
  <si>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</si>
  <si>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</si>
  <si>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</si>
  <si>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</si>
  <si>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</si>
  <si>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</si>
  <si>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</si>
  <si>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</si>
  <si>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</si>
  <si>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</si>
  <si>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</si>
  <si>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</si>
  <si>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</si>
  <si>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</si>
  <si>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</si>
  <si>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</si>
  <si>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</si>
  <si>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</si>
  <si>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</si>
  <si>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</si>
  <si>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</si>
  <si>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</si>
  <si>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</si>
  <si>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</si>
  <si>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</si>
  <si>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</si>
  <si>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</si>
  <si>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</si>
  <si>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</si>
  <si>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</si>
  <si>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</si>
  <si>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</si>
  <si>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</si>
  <si>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</si>
  <si>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</si>
  <si>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</si>
  <si>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</si>
  <si>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</si>
  <si>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</si>
  <si>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</si>
  <si>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</si>
  <si>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</si>
  <si>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</si>
  <si>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</si>
  <si>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</si>
  <si>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</si>
  <si>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</si>
  <si>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</si>
  <si>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</si>
  <si>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</si>
  <si>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</si>
  <si>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</si>
  <si>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</si>
  <si>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</si>
  <si>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</si>
  <si>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</si>
  <si>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</si>
  <si>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</si>
  <si>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</si>
  <si>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</si>
  <si>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01389</t>
  </si>
  <si>
    <t>453241 07</t>
  </si>
  <si>
    <t>г.Киров, ул.Чапаева 5/1-86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</si>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</sst>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№ЕИ-04/02-01389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ул.Чапаева 5/1-86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26.900000000000002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61.6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10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11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>
        <f>Данные!B5</f>
        <v>553.1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553.10699999999997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-2.8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553.10899999999992</v>
      </c>
      <c r="AK54" s="124"/>
      <c r="AL54" s="124"/>
      <c r="AM54" s="124"/>
      <c r="AN54" s="124"/>
      <c r="AO54" s="124"/>
      <c r="AP54" s="125"/>
      <c r="AQ54" s="123">
        <f t="shared" ca="1" si="0"/>
        <v>553.11599999999987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553.11799999999982</v>
      </c>
      <c r="AK55" s="120"/>
      <c r="AL55" s="120"/>
      <c r="AM55" s="120"/>
      <c r="AN55" s="120"/>
      <c r="AO55" s="120"/>
      <c r="AP55" s="121"/>
      <c r="AQ55" s="123">
        <f t="shared" ca="1" si="0"/>
        <v>553.1239999999998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5.8000000000000005E-3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3.4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0.13200000000000001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553.12999999999977</v>
      </c>
      <c r="AK56" s="120"/>
      <c r="AL56" s="120"/>
      <c r="AM56" s="120"/>
      <c r="AN56" s="120"/>
      <c r="AO56" s="120"/>
      <c r="AP56" s="121"/>
      <c r="AQ56" s="123">
        <f t="shared" ca="1" si="0"/>
        <v>553.14399999999978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1.3999999999999999E-2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553.14899999999977</v>
      </c>
      <c r="AK57" s="120"/>
      <c r="AL57" s="120"/>
      <c r="AM57" s="120"/>
      <c r="AN57" s="120"/>
      <c r="AO57" s="120"/>
      <c r="AP57" s="121"/>
      <c r="AQ57" s="123">
        <f t="shared" ca="1" si="0"/>
        <v>553.16199999999981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0.126</v>
      </c>
      <c r="AD58" s="124"/>
      <c r="AE58" s="124"/>
      <c r="AF58" s="124"/>
      <c r="AG58" s="124"/>
      <c r="AH58" s="124"/>
      <c r="AI58" s="125"/>
      <c r="AJ58" s="119">
        <f t="shared" ca="1" si="4"/>
        <v>553.1669999999998</v>
      </c>
      <c r="AK58" s="120"/>
      <c r="AL58" s="120"/>
      <c r="AM58" s="120"/>
      <c r="AN58" s="120"/>
      <c r="AO58" s="120"/>
      <c r="AP58" s="121"/>
      <c r="AQ58" s="123">
        <f t="shared" ca="1" si="0"/>
        <v>553.17999999999984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1.2900000000000002E-2</v>
      </c>
      <c r="BE58" s="136"/>
      <c r="BF58" s="136"/>
      <c r="BG58" s="136"/>
      <c r="BH58" s="136"/>
      <c r="BI58" s="136"/>
      <c r="BJ58" s="137"/>
      <c r="BK58" s="132">
        <f t="shared" ca="1" si="5"/>
        <v>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0.89100000000000001</v>
      </c>
      <c r="AD59" s="158"/>
      <c r="AE59" s="158"/>
      <c r="AF59" s="158"/>
      <c r="AG59" s="158"/>
      <c r="AH59" s="158"/>
      <c r="AI59" s="159"/>
      <c r="AJ59" s="174">
        <f ca="1">AQ58+RANDBETWEEN(15,18)/1000</f>
        <v>553.1959999999998</v>
      </c>
      <c r="AK59" s="175"/>
      <c r="AL59" s="175"/>
      <c r="AM59" s="175"/>
      <c r="AN59" s="175"/>
      <c r="AO59" s="175"/>
      <c r="AP59" s="176"/>
      <c r="AQ59" s="126">
        <f ca="1">AJ59+AW59</f>
        <v>553.22599999999977</v>
      </c>
      <c r="AR59" s="127"/>
      <c r="AS59" s="127"/>
      <c r="AT59" s="127"/>
      <c r="AU59" s="127"/>
      <c r="AV59" s="128"/>
      <c r="AW59" s="123">
        <f ca="1">ROUNDUP(AC59*120/3600,3)</f>
        <v>3.0000000000000002E-2</v>
      </c>
      <c r="AX59" s="130"/>
      <c r="AY59" s="130"/>
      <c r="AZ59" s="130"/>
      <c r="BA59" s="130"/>
      <c r="BB59" s="130"/>
      <c r="BC59" s="131"/>
      <c r="BD59" s="135">
        <f ca="1">AW59+RANDBETWEEN(-5,5)/10000</f>
        <v>2.9500000000000002E-2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1.7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0.89600000000000002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553.2439999999998</v>
      </c>
      <c r="AK60" s="120"/>
      <c r="AL60" s="120"/>
      <c r="AM60" s="120"/>
      <c r="AN60" s="120"/>
      <c r="AO60" s="120"/>
      <c r="AP60" s="121"/>
      <c r="AQ60" s="123">
        <f t="shared" ca="1" si="0"/>
        <v>553.27399999999977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3.0300000000000004E-2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0.94399999999999995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553.28899999999976</v>
      </c>
      <c r="AK61" s="172"/>
      <c r="AL61" s="172"/>
      <c r="AM61" s="172"/>
      <c r="AN61" s="172"/>
      <c r="AO61" s="172"/>
      <c r="AP61" s="173"/>
      <c r="AQ61" s="129">
        <f t="shared" ca="1" si="0"/>
        <v>553.3209999999998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3.2100000000000004E-2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553.1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10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11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2025-11-13T17:32:23Z</dcterms:modified>
</cp:coreProperties>
</file>