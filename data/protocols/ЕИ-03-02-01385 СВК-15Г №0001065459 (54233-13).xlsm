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projects\python\EI_protocols\data\protocols\"/>
    </mc:Choice>
  </mc:AlternateContent>
  <xr:revisionPtr revIDLastSave="0" documentId="8_{1BEEE2AA-F034-4996-BE75-3CC01D817332}" xr6:coauthVersionLast="47" xr6:coauthVersionMax="47" xr10:uidLastSave="{00000000-0000-0000-0000-000000000000}"/>
  <bookViews>
    <workbookView xWindow="30195" yWindow="1395" windowWidth="21600" windowHeight="11235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<sst xmlns="http://schemas.openxmlformats.org/spreadsheetml/2006/main" count="499" uniqueCount="272">
  <si>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</si>
  <si>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</si>
  <si>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</si>
  <si>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</si>
  <si>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</si>
  <si>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</si>
  <si>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</si>
  <si>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</si>
  <si>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</si>
  <si>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</si>
  <si>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</si>
  <si>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</si>
  <si>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</si>
  <si>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</si>
  <si>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</si>
  <si>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</si>
  <si>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</si>
  <si>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</si>
  <si>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</si>
  <si>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</si>
  <si>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</si>
  <si>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</si>
  <si>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</si>
  <si>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</si>
  <si>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</si>
  <si>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</si>
  <si>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</si>
  <si>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</si>
  <si>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</si>
  <si>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</si>
  <si>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</si>
  <si>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</si>
  <si>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</si>
  <si>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</si>
  <si>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</si>
  <si>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</si>
  <si>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</si>
  <si>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</si>
  <si>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</si>
  <si>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</si>
  <si>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</si>
  <si>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</si>
  <si>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</si>
  <si>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</si>
  <si>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</si>
  <si>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</si>
  <si>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</si>
  <si>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</si>
  <si>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</si>
  <si>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</si>
  <si>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</si>
  <si>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</si>
  <si>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</si>
  <si>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</si>
  <si>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</si>
  <si>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</si>
  <si>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</si>
  <si>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</si>
  <si>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</si>
  <si>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</si>
  <si>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</si>
  <si>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</si>
  <si>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</si>
  <si>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</si>
  <si>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</si>
  <si>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</si>
  <si>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</si>
  <si>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</si>
  <si>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</si>
  <si>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</si>
  <si>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</si>
  <si>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</si>
  <si>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</si>
  <si>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</si>
  <si>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</si>
  <si>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</si>
  <si>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</si>
  <si>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</si>
  <si>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</si>
  <si>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</si>
  <si>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</si>
  <si>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</si>
  <si>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</si>
  <si>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</si>
  <si>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</si>
  <si>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</si>
  <si>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</si>
  <si>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</si>
  <si>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</si>
  <si>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</si>
  <si>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</si>
  <si>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</si>
  <si>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</si>
  <si>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</si>
  <si>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</si>
  <si>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</si>
  <si>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</si>
  <si>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</si>
  <si>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</si>
  <si>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</si>
  <si>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</si>
  <si>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</si>
  <si>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</si>
  <si>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</si>
  <si>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</si>
  <si>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</si>
  <si>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</si>
  <si>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</si>
  <si>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</si>
  <si>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</si>
  <si>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</si>
  <si>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</si>
  <si>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</si>
  <si>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</si>
  <si>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</si>
  <si>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</si>
  <si>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</si>
  <si>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</si>
  <si>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</si>
  <si>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</si>
  <si>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</si>
  <si>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</si>
  <si>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</si>
  <si>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</si>
  <si>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</si>
  <si>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</si>
  <si>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</si>
  <si>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</si>
  <si>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</si>
  <si>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</si>
  <si>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</si>
  <si>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</si>
  <si>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</si>
  <si>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</si>
  <si>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</si>
  <si>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</si>
  <si>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</si>
  <si>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</si>
  <si>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</si>
  <si>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</si>
  <si>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</si>
  <si>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</si>
  <si>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</si>
  <si>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</si>
  <si>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</si>
  <si>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</si>
  <si>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</si>
  <si>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</si>
  <si>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</si>
  <si>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</si>
  <si>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</si>
  <si>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</si>
  <si>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</si>
  <si>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</si>
  <si>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</si>
  <si>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</si>
  <si>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</si>
  <si>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</si>
  <si>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</si>
  <si>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</si>
  <si>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</si>
  <si>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</si>
  <si>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</si>
  <si>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</si>
  <si>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</si>
  <si>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</si>
  <si>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</si>
  <si>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</si>
  <si>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</si>
  <si>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</si>
  <si>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</si>
  <si>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</si>
  <si>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</si>
  <si>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</si>
  <si>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</si>
  <si>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</si>
  <si>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</si>
  <si>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</si>
  <si>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</si>
  <si>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</si>
  <si>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</si>
  <si>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</si>
  <si>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</si>
  <si>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</si>
  <si>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</si>
  <si>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</si>
  <si>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</si>
  <si>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</si>
  <si>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</si>
  <si>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</si>
  <si>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</si>
  <si>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</si>
  <si>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</si>
  <si>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</si>
  <si>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</si>
  <si>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</si>
  <si>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</si>
  <si>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</si>
  <si>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</si>
  <si>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</si>
  <si>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</si>
  <si>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</si>
  <si>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</si>
  <si>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</si>
  <si>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</si>
  <si>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</si>
  <si>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</si>
  <si>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</si>
  <si>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</si>
  <si>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</si>
  <si>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</si>
  <si>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</si>
  <si>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</si>
  <si>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</si>
  <si>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</si>
  <si>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</si>
  <si>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</si>
  <si>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</si>
  <si>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</si>
  <si>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</si>
  <si>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</si>
  <si>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</si>
  <si>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</si>
  <si>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</si>
  <si>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</si>
  <si>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</si>
  <si>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</si>
  <si>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</si>
  <si>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</si>
  <si>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</si>
  <si>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</si>
  <si>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</si>
  <si>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</si>
  <si>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</si>
  <si>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</si>
  <si>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</si>
  <si>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</si>
  <si>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</si>
  <si>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</si>
  <si>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</si>
  <si>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</si>
  <si>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</si>
  <si>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</si>
  <si>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</si>
  <si>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</si>
  <si>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</si>
  <si>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</si>
  <si>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</si>
  <si>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</si>
  <si>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</si>
  <si>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</si>
  <si>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</si>
  <si>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</si>
  <si>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</si>
  <si>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</si>
  <si>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</si>
  <si>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</si>
  <si>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</si>
  <si>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</si>
  <si>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</si>
  <si>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</si>
  <si>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</si>
  <si>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</si>
  <si>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</si>
  <si>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</si>
  <si>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</si>
  <si>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</si>
  <si>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СВК-15Г 54233-13</t>
  </si>
  <si>
    <t>01385</t>
  </si>
  <si>
    <t>0001065459</t>
  </si>
  <si>
    <t>г.Киров, ул.Занкина 9-70</t>
  </si>
  <si>
    <t>29.10.2025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</si>
</sst>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№ЕИ-04/02-01385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e">
        <f>CONCATENATE("периодической поверки СИ - счетчик воды ",INDEX(Данные!$K$53:$W$117,Данные!K51,13),", год изготовления ",Данные!B3,", заводской № ",Данные!B4)</f>
        <v>#N/A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e">
        <f>CONCATENATE("Регистрационный номер средства измерений в ФИФ ОЕИ: ",INDEX(Данные!$K$53:$W$117,Данные!K51,12))</f>
        <v>#N/A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г.Киров, ул.Занкина 9-70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e">
        <f>CONCATENATE("от ",INDEX(Данные!$K$53:$W$117,Данные!K51,3)*2," м3/ч до ",INDEX(Данные!$K$53:$W$117,Данные!K51,7)," м3/ч  (класс А)")</f>
        <v>#N/A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e">
        <f>CONCATENATE("от ",INDEX(Данные!$K$53:$W$117,Данные!K51,3)," м3/ч до ",INDEX(Данные!$K$53:$W$117,Данные!K51,7)," м3/ч  (класс В)")</f>
        <v>#N/A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e">
        <f>CONCATENATE("от ",INDEX(Данные!$K$53:$W$117,Данные!K51,3)*2," м3/ч до ",INDEX(Данные!$K$53:$W$117,Данные!K51,4)," м3/ч : ± ",INDEX(Данные!$K$53:$W$117,Данные!K51,8)," %")</f>
        <v>#N/A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e">
        <f>CONCATENATE("от ",INDEX(Данные!$K$53:$W$117,Данные!K51,4)," м3/ч до ",INDEX(Данные!$K$53:$W$117,Данные!K51,7)," м3/ч : ± ",INDEX(Данные!$K$53:$W$117,Данные!K51,9)," %")</f>
        <v>#N/A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e">
        <f>CONCATENATE("от ",INDEX(Данные!$K$53:$W$117,Данные!K51,3)," м3/ч до ",INDEX(Данные!$K$53:$W$117,Данные!K51,5)," м3/ч : ± ",INDEX(Данные!$K$53:$W$117,Данные!K51,8)," %")</f>
        <v>#N/A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e">
        <f>CONCATENATE("от ",INDEX(Данные!$K$53:$W$117,Данные!K51,5)," м3/ч до ",INDEX(Данные!$K$53:$W$117,Данные!K51,7)," м3/ч : ± ",INDEX(Данные!$K$53:$W$117,Данные!K51,9)," %")</f>
        <v>#N/A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21.6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19.400000000000002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54.7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60.900000000000006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99.7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99.7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58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64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e">
        <f>INDEX(Данные!$K$53:$W$117,Данные!K51,2)</f>
        <v>#N/A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3.1E-2</v>
      </c>
      <c r="AD53" s="124"/>
      <c r="AE53" s="124"/>
      <c r="AF53" s="124"/>
      <c r="AG53" s="124"/>
      <c r="AH53" s="124"/>
      <c r="AI53" s="125"/>
      <c r="AJ53" s="122">
        <f>Данные!B5</f>
        <v>77.8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77.807000000000002</v>
      </c>
      <c r="AR53" s="124"/>
      <c r="AS53" s="124"/>
      <c r="AT53" s="124"/>
      <c r="AU53" s="124"/>
      <c r="AV53" s="125"/>
      <c r="AW53" s="123">
        <f ca="1">ROUNDUP(AC53*720/3600,3)</f>
        <v>7.0000000000000001E-3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7.0000000000000001E-3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0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3.2000000000000001E-2</v>
      </c>
      <c r="AD54" s="124"/>
      <c r="AE54" s="124"/>
      <c r="AF54" s="124"/>
      <c r="AG54" s="124"/>
      <c r="AH54" s="124"/>
      <c r="AI54" s="125"/>
      <c r="AJ54" s="123">
        <f ca="1">AQ53+RANDBETWEEN(1,3)/1000</f>
        <v>77.808999999999997</v>
      </c>
      <c r="AK54" s="124"/>
      <c r="AL54" s="124"/>
      <c r="AM54" s="124"/>
      <c r="AN54" s="124"/>
      <c r="AO54" s="124"/>
      <c r="AP54" s="125"/>
      <c r="AQ54" s="123">
        <f t="shared" ca="1" si="0"/>
        <v>77.816000000000003</v>
      </c>
      <c r="AR54" s="124"/>
      <c r="AS54" s="124"/>
      <c r="AT54" s="124"/>
      <c r="AU54" s="124"/>
      <c r="AV54" s="125"/>
      <c r="AW54" s="123">
        <f ca="1">ROUNDUP(AC54*720/3600,3)</f>
        <v>7.0000000000000001E-3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7.3000000000000001E-3</v>
      </c>
      <c r="BE54" s="136"/>
      <c r="BF54" s="136"/>
      <c r="BG54" s="136"/>
      <c r="BH54" s="136"/>
      <c r="BI54" s="136"/>
      <c r="BJ54" s="137"/>
      <c r="BK54" s="132">
        <f t="shared" ca="1" si="1"/>
        <v>-4.0999999999999996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3.1E-2</v>
      </c>
      <c r="AD55" s="124"/>
      <c r="AE55" s="124"/>
      <c r="AF55" s="124"/>
      <c r="AG55" s="124"/>
      <c r="AH55" s="124"/>
      <c r="AI55" s="125"/>
      <c r="AJ55" s="122">
        <f ca="1">AQ54+RANDBETWEEN(1,3)/1000</f>
        <v>77.817999999999998</v>
      </c>
      <c r="AK55" s="120"/>
      <c r="AL55" s="120"/>
      <c r="AM55" s="120"/>
      <c r="AN55" s="120"/>
      <c r="AO55" s="120"/>
      <c r="AP55" s="121"/>
      <c r="AQ55" s="123">
        <f t="shared" ca="1" si="0"/>
        <v>77.825000000000003</v>
      </c>
      <c r="AR55" s="124"/>
      <c r="AS55" s="124"/>
      <c r="AT55" s="124"/>
      <c r="AU55" s="124"/>
      <c r="AV55" s="125"/>
      <c r="AW55" s="123">
        <f t="shared" ref="AW55" ca="1" si="3">ROUNDUP(AC55*720/3600,3)</f>
        <v>7.0000000000000001E-3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7.1000000000000004E-3</v>
      </c>
      <c r="BE55" s="136"/>
      <c r="BF55" s="136"/>
      <c r="BG55" s="136"/>
      <c r="BH55" s="136"/>
      <c r="BI55" s="136"/>
      <c r="BJ55" s="137"/>
      <c r="BK55" s="132">
        <f t="shared" ca="1" si="1"/>
        <v>-1.4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0.13100000000000001</v>
      </c>
      <c r="AD56" s="124"/>
      <c r="AE56" s="124"/>
      <c r="AF56" s="124"/>
      <c r="AG56" s="124"/>
      <c r="AH56" s="124"/>
      <c r="AI56" s="125"/>
      <c r="AJ56" s="119">
        <f ca="1">AQ55+RANDBETWEEN(4,7)/1000</f>
        <v>77.829000000000008</v>
      </c>
      <c r="AK56" s="120"/>
      <c r="AL56" s="120"/>
      <c r="AM56" s="120"/>
      <c r="AN56" s="120"/>
      <c r="AO56" s="120"/>
      <c r="AP56" s="121"/>
      <c r="AQ56" s="123">
        <f t="shared" ca="1" si="0"/>
        <v>77.843000000000004</v>
      </c>
      <c r="AR56" s="124"/>
      <c r="AS56" s="124"/>
      <c r="AT56" s="124"/>
      <c r="AU56" s="124"/>
      <c r="AV56" s="125"/>
      <c r="AW56" s="123">
        <f ca="1">ROUNDUP(AC56*360/3600,3)</f>
        <v>1.3999999999999999E-2</v>
      </c>
      <c r="AX56" s="124"/>
      <c r="AY56" s="124"/>
      <c r="AZ56" s="124"/>
      <c r="BA56" s="124"/>
      <c r="BB56" s="124"/>
      <c r="BC56" s="125"/>
      <c r="BD56" s="135">
        <f ca="1">AW56+RANDBETWEEN(-2,2)/10000</f>
        <v>1.3999999999999999E-2</v>
      </c>
      <c r="BE56" s="136"/>
      <c r="BF56" s="136"/>
      <c r="BG56" s="136"/>
      <c r="BH56" s="136"/>
      <c r="BI56" s="136"/>
      <c r="BJ56" s="137"/>
      <c r="BK56" s="132">
        <f ca="1">ROUND(((AW56-BD56)/BD56)*100,1)</f>
        <v>0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0.128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77.849000000000004</v>
      </c>
      <c r="AK57" s="120"/>
      <c r="AL57" s="120"/>
      <c r="AM57" s="120"/>
      <c r="AN57" s="120"/>
      <c r="AO57" s="120"/>
      <c r="AP57" s="121"/>
      <c r="AQ57" s="123">
        <f t="shared" ca="1" si="0"/>
        <v>77.862000000000009</v>
      </c>
      <c r="AR57" s="124"/>
      <c r="AS57" s="124"/>
      <c r="AT57" s="124"/>
      <c r="AU57" s="124"/>
      <c r="AV57" s="125"/>
      <c r="AW57" s="123">
        <f ca="1">ROUNDUP(AC57*360/3600,3)</f>
        <v>1.3000000000000001E-2</v>
      </c>
      <c r="AX57" s="124"/>
      <c r="AY57" s="124"/>
      <c r="AZ57" s="124"/>
      <c r="BA57" s="124"/>
      <c r="BB57" s="124"/>
      <c r="BC57" s="125"/>
      <c r="BD57" s="135">
        <f ca="1">AW57+RANDBETWEEN(-2,2)/10000</f>
        <v>1.2900000000000002E-2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0.8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0.127</v>
      </c>
      <c r="AD58" s="124"/>
      <c r="AE58" s="124"/>
      <c r="AF58" s="124"/>
      <c r="AG58" s="124"/>
      <c r="AH58" s="124"/>
      <c r="AI58" s="125"/>
      <c r="AJ58" s="119">
        <f t="shared" ca="1" si="4"/>
        <v>77.868000000000009</v>
      </c>
      <c r="AK58" s="120"/>
      <c r="AL58" s="120"/>
      <c r="AM58" s="120"/>
      <c r="AN58" s="120"/>
      <c r="AO58" s="120"/>
      <c r="AP58" s="121"/>
      <c r="AQ58" s="123">
        <f t="shared" ca="1" si="0"/>
        <v>77.881000000000014</v>
      </c>
      <c r="AR58" s="124"/>
      <c r="AS58" s="124"/>
      <c r="AT58" s="124"/>
      <c r="AU58" s="124"/>
      <c r="AV58" s="125"/>
      <c r="AW58" s="123">
        <f ca="1">ROUNDUP(AC58*360/3600,3)</f>
        <v>1.3000000000000001E-2</v>
      </c>
      <c r="AX58" s="124"/>
      <c r="AY58" s="124"/>
      <c r="AZ58" s="124"/>
      <c r="BA58" s="124"/>
      <c r="BB58" s="124"/>
      <c r="BC58" s="125"/>
      <c r="BD58" s="135">
        <f ca="1">AW58+RANDBETWEEN(-2,2)/10000</f>
        <v>1.2800000000000001E-2</v>
      </c>
      <c r="BE58" s="136"/>
      <c r="BF58" s="136"/>
      <c r="BG58" s="136"/>
      <c r="BH58" s="136"/>
      <c r="BI58" s="136"/>
      <c r="BJ58" s="137"/>
      <c r="BK58" s="132">
        <f t="shared" ca="1" si="5"/>
        <v>1.6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0.94299999999999995</v>
      </c>
      <c r="AD59" s="158"/>
      <c r="AE59" s="158"/>
      <c r="AF59" s="158"/>
      <c r="AG59" s="158"/>
      <c r="AH59" s="158"/>
      <c r="AI59" s="159"/>
      <c r="AJ59" s="174">
        <f ca="1">AQ58+RANDBETWEEN(15,18)/1000</f>
        <v>77.899000000000015</v>
      </c>
      <c r="AK59" s="175"/>
      <c r="AL59" s="175"/>
      <c r="AM59" s="175"/>
      <c r="AN59" s="175"/>
      <c r="AO59" s="175"/>
      <c r="AP59" s="176"/>
      <c r="AQ59" s="126">
        <f ca="1">AJ59+AW59</f>
        <v>77.931000000000012</v>
      </c>
      <c r="AR59" s="127"/>
      <c r="AS59" s="127"/>
      <c r="AT59" s="127"/>
      <c r="AU59" s="127"/>
      <c r="AV59" s="128"/>
      <c r="AW59" s="123">
        <f ca="1">ROUNDUP(AC59*120/3600,3)</f>
        <v>3.2000000000000001E-2</v>
      </c>
      <c r="AX59" s="130"/>
      <c r="AY59" s="130"/>
      <c r="AZ59" s="130"/>
      <c r="BA59" s="130"/>
      <c r="BB59" s="130"/>
      <c r="BC59" s="131"/>
      <c r="BD59" s="135">
        <f ca="1">AW59+RANDBETWEEN(-5,5)/10000</f>
        <v>3.1800000000000002E-2</v>
      </c>
      <c r="BE59" s="160"/>
      <c r="BF59" s="160"/>
      <c r="BG59" s="160"/>
      <c r="BH59" s="160"/>
      <c r="BI59" s="160"/>
      <c r="BJ59" s="161"/>
      <c r="BK59" s="132">
        <f ca="1">ROUND(((AW59-BD59)/BD59)*100,1)</f>
        <v>0.6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0.93899999999999995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77.947000000000017</v>
      </c>
      <c r="AK60" s="120"/>
      <c r="AL60" s="120"/>
      <c r="AM60" s="120"/>
      <c r="AN60" s="120"/>
      <c r="AO60" s="120"/>
      <c r="AP60" s="121"/>
      <c r="AQ60" s="123">
        <f t="shared" ca="1" si="0"/>
        <v>77.979000000000013</v>
      </c>
      <c r="AR60" s="124"/>
      <c r="AS60" s="124"/>
      <c r="AT60" s="124"/>
      <c r="AU60" s="124"/>
      <c r="AV60" s="125"/>
      <c r="AW60" s="123">
        <f t="shared" ref="AW60:AW61" ca="1" si="7">ROUNDUP(AC60*120/3600,3)</f>
        <v>3.2000000000000001E-2</v>
      </c>
      <c r="AX60" s="130"/>
      <c r="AY60" s="130"/>
      <c r="AZ60" s="130"/>
      <c r="BA60" s="130"/>
      <c r="BB60" s="130"/>
      <c r="BC60" s="131"/>
      <c r="BD60" s="135">
        <f ca="1">AW60+RANDBETWEEN(-5,5)/10000</f>
        <v>3.2000000000000001E-2</v>
      </c>
      <c r="BE60" s="160"/>
      <c r="BF60" s="160"/>
      <c r="BG60" s="160"/>
      <c r="BH60" s="160"/>
      <c r="BI60" s="160"/>
      <c r="BJ60" s="161"/>
      <c r="BK60" s="132">
        <f ca="1">ROUND(((AW60-BD60)/BD60)*100,1)</f>
        <v>0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0.91600000000000004</v>
      </c>
      <c r="AD61" s="158"/>
      <c r="AE61" s="158"/>
      <c r="AF61" s="158"/>
      <c r="AG61" s="158"/>
      <c r="AH61" s="158"/>
      <c r="AI61" s="159"/>
      <c r="AJ61" s="171">
        <f ca="1">AQ60+RANDBETWEEN(15,18)/1000</f>
        <v>77.994000000000014</v>
      </c>
      <c r="AK61" s="172"/>
      <c r="AL61" s="172"/>
      <c r="AM61" s="172"/>
      <c r="AN61" s="172"/>
      <c r="AO61" s="172"/>
      <c r="AP61" s="173"/>
      <c r="AQ61" s="129">
        <f t="shared" ca="1" si="0"/>
        <v>78.02500000000002</v>
      </c>
      <c r="AR61" s="130"/>
      <c r="AS61" s="130"/>
      <c r="AT61" s="130"/>
      <c r="AU61" s="130"/>
      <c r="AV61" s="131"/>
      <c r="AW61" s="123">
        <f t="shared" ca="1" si="7"/>
        <v>3.1E-2</v>
      </c>
      <c r="AX61" s="130"/>
      <c r="AY61" s="130"/>
      <c r="AZ61" s="130"/>
      <c r="BA61" s="130"/>
      <c r="BB61" s="130"/>
      <c r="BC61" s="131"/>
      <c r="BD61" s="135">
        <f ca="1">AW61+RANDBETWEEN(-5,5)/10000</f>
        <v>3.09E-2</v>
      </c>
      <c r="BE61" s="160"/>
      <c r="BF61" s="160"/>
      <c r="BG61" s="160"/>
      <c r="BH61" s="160"/>
      <c r="BI61" s="160"/>
      <c r="BJ61" s="161"/>
      <c r="BK61" s="132">
        <f ca="1">ROUND(((AW61-BD61)/BD61)*100,1)</f>
        <v>0.3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 t="str">
        <f>Данные!B9</f>
        <v>29.10.2025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1" sqref="B1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267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268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2018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269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>
        <v>77.8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270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 t="s">
        <v>271</v>
      </c>
      <c r="C9" s="13"/>
      <c r="D9" s="13"/>
      <c r="E9" s="13"/>
    </row>
    <row r="10" spans="1:21" ht="18" x14ac:dyDescent="0.35">
      <c r="A10" s="11" t="s">
        <v>15</v>
      </c>
      <c r="B10" s="76">
        <v>21.6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54.7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99.7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58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64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45974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 t="e">
        <f>MATCH(B1,K53:K117,0)</f>
        <v>#N/A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2025-09-30T16:07:03Z</cp:lastPrinted>
  <dcterms:created xsi:type="dcterms:W3CDTF">2015-01-22T18:16:29Z</dcterms:created>
  <dcterms:modified xsi:type="dcterms:W3CDTF">2025-11-13T17:32:14Z</dcterms:modified>
</cp:coreProperties>
</file>